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 xmlns:r="http://schemas.openxmlformats.org/officeDocument/2006/relationships" name="Proposal vs Built" sheetId="4" state="visible" r:id="rId4"/>
  </sheets>
  <definedNames>
    <definedName name="_xlnm._FilterDatabase" localSheetId="1" hidden="1">'Tasks'!$A$1:$F$202</definedName>
    <definedName name="_xlnm._FilterDatabase" localSheetId="2" hidden="1">'Test Scenarios'!$A$1:$G$46</definedName>
    <definedName name="_xlnm._FilterDatabase" localSheetId="3" hidden="1">'Proposal vs Built'!$A$1:$E$17</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3"/>
    <row r="4">
      <c r="A4" s="3" t="inlineStr">
        <is>
          <t>FocusNext 2026 — Team "RAG to Riches"</t>
        </is>
      </c>
    </row>
    <row r="5">
      <c r="A5" s="3" t="inlineStr">
        <is>
          <t>Khavya Sakthivel &amp; Sukumar Dhandapani (Development) · Souvik Das (QA) — updated 2026-10-24 (identity / credit simulation added)</t>
        </is>
      </c>
    </row>
    <row r="6">
      <c r="A6" s="3" t="inlineStr">
        <is>
          <t>Prepared 2026-09-11 · Target: basic MVP in 4 weeks (Week 1 core build, Weeks 2-4 hardening &amp; refinement)</t>
        </is>
      </c>
    </row>
    <row r="7"/>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0"/>
    <row r="11">
      <c r="A11" s="4" t="inlineStr">
        <is>
          <t>Overall progress</t>
        </is>
      </c>
    </row>
    <row r="12">
      <c r="A12" s="6" t="inlineStr">
        <is>
          <t>Completed</t>
        </is>
      </c>
      <c r="B12" s="6" t="inlineStr">
        <is>
          <t>In Progress</t>
        </is>
      </c>
      <c r="C12" s="6" t="inlineStr">
        <is>
          <t>Not Started</t>
        </is>
      </c>
      <c r="D12" s="6" t="inlineStr">
        <is>
          <t>Total</t>
        </is>
      </c>
    </row>
    <row r="13">
      <c r="A13" s="7">
        <f>COUNTIF(Tasks!$D$2:$D$202,"Completed")</f>
        <v/>
      </c>
      <c r="B13" s="7">
        <f>COUNTIF(Tasks!$D$2:$D$202,"In Progress")</f>
        <v/>
      </c>
      <c r="C13" s="7">
        <f>COUNTIF(Tasks!$D$2:$D$202,"Not Started")</f>
        <v/>
      </c>
      <c r="D13" s="7">
        <f>SUM(A13:C13)</f>
        <v/>
      </c>
    </row>
    <row r="14"/>
    <row r="15"/>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COUNTIFS(Tasks!$B$2:$B$202,$A18,Tasks!$D$2:$D$202,"Completed")</f>
        <v/>
      </c>
      <c r="C18" s="10">
        <f>COUNTIFS(Tasks!$B$2:$B$202,$A18,Tasks!$D$2:$D$202,"In Progress")</f>
        <v/>
      </c>
      <c r="D18" s="10">
        <f>COUNTIFS(Tasks!$B$2:$B$202,$A18,Tasks!$D$2:$D$202,"Not Started")</f>
        <v/>
      </c>
      <c r="E18" s="10">
        <f>SUM(B18:D18)</f>
        <v/>
      </c>
    </row>
    <row r="19">
      <c r="A19" s="9" t="inlineStr">
        <is>
          <t>2. Authentication &amp; Access Control</t>
        </is>
      </c>
      <c r="B19" s="10">
        <f>COUNTIFS(Tasks!$B$2:$B$202,$A19,Tasks!$D$2:$D$202,"Completed")</f>
        <v/>
      </c>
      <c r="C19" s="10">
        <f>COUNTIFS(Tasks!$B$2:$B$202,$A19,Tasks!$D$2:$D$202,"In Progress")</f>
        <v/>
      </c>
      <c r="D19" s="10">
        <f>COUNTIFS(Tasks!$B$2:$B$202,$A19,Tasks!$D$2:$D$202,"Not Started")</f>
        <v/>
      </c>
      <c r="E19" s="10">
        <f>SUM(B19:D19)</f>
        <v/>
      </c>
    </row>
    <row r="20">
      <c r="A20" s="9" t="inlineStr">
        <is>
          <t>3. Data Model &amp; Database (MongoDB)</t>
        </is>
      </c>
      <c r="B20" s="10">
        <f>COUNTIFS(Tasks!$B$2:$B$202,$A20,Tasks!$D$2:$D$202,"Completed")</f>
        <v/>
      </c>
      <c r="C20" s="10">
        <f>COUNTIFS(Tasks!$B$2:$B$202,$A20,Tasks!$D$2:$D$202,"In Progress")</f>
        <v/>
      </c>
      <c r="D20" s="10">
        <f>COUNTIFS(Tasks!$B$2:$B$202,$A20,Tasks!$D$2:$D$202,"Not Started")</f>
        <v/>
      </c>
      <c r="E20" s="10">
        <f>SUM(B20:D20)</f>
        <v/>
      </c>
    </row>
    <row r="21">
      <c r="A21" s="9" t="inlineStr">
        <is>
          <t>4. Document Intelligence (OCR / AI Extraction)</t>
        </is>
      </c>
      <c r="B21" s="10">
        <f>COUNTIFS(Tasks!$B$2:$B$202,$A21,Tasks!$D$2:$D$202,"Completed")</f>
        <v/>
      </c>
      <c r="C21" s="10">
        <f>COUNTIFS(Tasks!$B$2:$B$202,$A21,Tasks!$D$2:$D$202,"In Progress")</f>
        <v/>
      </c>
      <c r="D21" s="10">
        <f>COUNTIFS(Tasks!$B$2:$B$202,$A21,Tasks!$D$2:$D$202,"Not Started")</f>
        <v/>
      </c>
      <c r="E21" s="10">
        <f>SUM(B21:D21)</f>
        <v/>
      </c>
    </row>
    <row r="22">
      <c r="A22" s="9" t="inlineStr">
        <is>
          <t>5. Cross-Verification Engine</t>
        </is>
      </c>
      <c r="B22" s="10">
        <f>COUNTIFS(Tasks!$B$2:$B$202,$A22,Tasks!$D$2:$D$202,"Completed")</f>
        <v/>
      </c>
      <c r="C22" s="10">
        <f>COUNTIFS(Tasks!$B$2:$B$202,$A22,Tasks!$D$2:$D$202,"In Progress")</f>
        <v/>
      </c>
      <c r="D22" s="10">
        <f>COUNTIFS(Tasks!$B$2:$B$202,$A22,Tasks!$D$2:$D$202,"Not Started")</f>
        <v/>
      </c>
      <c r="E22" s="10">
        <f>SUM(B22:D22)</f>
        <v/>
      </c>
    </row>
    <row r="23">
      <c r="A23" s="9" t="inlineStr">
        <is>
          <t>6. RAG Assistant (Conversational Q&amp;A)</t>
        </is>
      </c>
      <c r="B23" s="10">
        <f>COUNTIFS(Tasks!$B$2:$B$202,$A23,Tasks!$D$2:$D$202,"Completed")</f>
        <v/>
      </c>
      <c r="C23" s="10">
        <f>COUNTIFS(Tasks!$B$2:$B$202,$A23,Tasks!$D$2:$D$202,"In Progress")</f>
        <v/>
      </c>
      <c r="D23" s="10">
        <f>COUNTIFS(Tasks!$B$2:$B$202,$A23,Tasks!$D$2:$D$202,"Not Started")</f>
        <v/>
      </c>
      <c r="E23" s="10">
        <f>SUM(B23:D23)</f>
        <v/>
      </c>
    </row>
    <row r="24">
      <c r="A24" s="9" t="inlineStr">
        <is>
          <t>7. Frontend — Screens &amp; Navigation</t>
        </is>
      </c>
      <c r="B24" s="10">
        <f>COUNTIFS(Tasks!$B$2:$B$202,$A24,Tasks!$D$2:$D$202,"Completed")</f>
        <v/>
      </c>
      <c r="C24" s="10">
        <f>COUNTIFS(Tasks!$B$2:$B$202,$A24,Tasks!$D$2:$D$202,"In Progress")</f>
        <v/>
      </c>
      <c r="D24" s="10">
        <f>COUNTIFS(Tasks!$B$2:$B$202,$A24,Tasks!$D$2:$D$202,"Not Started")</f>
        <v/>
      </c>
      <c r="E24" s="10">
        <f>SUM(B24:D24)</f>
        <v/>
      </c>
    </row>
    <row r="25">
      <c r="A25" s="9" t="inlineStr">
        <is>
          <t>8. Synthetic Demo Data</t>
        </is>
      </c>
      <c r="B25" s="10">
        <f>COUNTIFS(Tasks!$B$2:$B$202,$A25,Tasks!$D$2:$D$202,"Completed")</f>
        <v/>
      </c>
      <c r="C25" s="10">
        <f>COUNTIFS(Tasks!$B$2:$B$202,$A25,Tasks!$D$2:$D$202,"In Progress")</f>
        <v/>
      </c>
      <c r="D25" s="10">
        <f>COUNTIFS(Tasks!$B$2:$B$202,$A25,Tasks!$D$2:$D$202,"Not Started")</f>
        <v/>
      </c>
      <c r="E25" s="10">
        <f>SUM(B25:D25)</f>
        <v/>
      </c>
    </row>
    <row r="26">
      <c r="A26" s="9" t="inlineStr">
        <is>
          <t>9. WhatsApp Integration</t>
        </is>
      </c>
      <c r="B26" s="10">
        <f>COUNTIFS(Tasks!$B$2:$B$202,$A26,Tasks!$D$2:$D$202,"Completed")</f>
        <v/>
      </c>
      <c r="C26" s="10">
        <f>COUNTIFS(Tasks!$B$2:$B$202,$A26,Tasks!$D$2:$D$202,"In Progress")</f>
        <v/>
      </c>
      <c r="D26" s="10">
        <f>COUNTIFS(Tasks!$B$2:$B$202,$A26,Tasks!$D$2:$D$202,"Not Started")</f>
        <v/>
      </c>
      <c r="E26" s="10">
        <f>SUM(B26:D26)</f>
        <v/>
      </c>
    </row>
    <row r="27">
      <c r="A27" s="9" t="inlineStr">
        <is>
          <t>10. Hosting &amp; Deployment</t>
        </is>
      </c>
      <c r="B27" s="10">
        <f>COUNTIFS(Tasks!$B$2:$B$202,$A27,Tasks!$D$2:$D$202,"Completed")</f>
        <v/>
      </c>
      <c r="C27" s="10">
        <f>COUNTIFS(Tasks!$B$2:$B$202,$A27,Tasks!$D$2:$D$202,"In Progress")</f>
        <v/>
      </c>
      <c r="D27" s="10">
        <f>COUNTIFS(Tasks!$B$2:$B$202,$A27,Tasks!$D$2:$D$202,"Not Started")</f>
        <v/>
      </c>
      <c r="E27" s="10">
        <f>SUM(B27:D27)</f>
        <v/>
      </c>
    </row>
    <row r="28">
      <c r="A28" s="9" t="inlineStr">
        <is>
          <t>11. Testing &amp; QA</t>
        </is>
      </c>
      <c r="B28" s="10">
        <f>COUNTIFS(Tasks!$B$2:$B$202,$A28,Tasks!$D$2:$D$202,"Completed")</f>
        <v/>
      </c>
      <c r="C28" s="10">
        <f>COUNTIFS(Tasks!$B$2:$B$202,$A28,Tasks!$D$2:$D$202,"In Progress")</f>
        <v/>
      </c>
      <c r="D28" s="10">
        <f>COUNTIFS(Tasks!$B$2:$B$202,$A28,Tasks!$D$2:$D$202,"Not Started")</f>
        <v/>
      </c>
      <c r="E28" s="10">
        <f>SUM(B28:D28)</f>
        <v/>
      </c>
    </row>
    <row r="29">
      <c r="A29" s="9" t="inlineStr">
        <is>
          <t>12. Documentation</t>
        </is>
      </c>
      <c r="B29" s="10">
        <f>COUNTIFS(Tasks!$B$2:$B$202,$A29,Tasks!$D$2:$D$202,"Completed")</f>
        <v/>
      </c>
      <c r="C29" s="10">
        <f>COUNTIFS(Tasks!$B$2:$B$202,$A29,Tasks!$D$2:$D$202,"In Progress")</f>
        <v/>
      </c>
      <c r="D29" s="10">
        <f>COUNTIFS(Tasks!$B$2:$B$202,$A29,Tasks!$D$2:$D$202,"Not Started")</f>
        <v/>
      </c>
      <c r="E29" s="10">
        <f>SUM(B29:D29)</f>
        <v/>
      </c>
    </row>
    <row r="30">
      <c r="A30" s="9" t="inlineStr">
        <is>
          <t>13. Real-Time Document Validation &amp; Self-Service Re-Request (DocuSense)</t>
        </is>
      </c>
      <c r="B30" s="10">
        <f>COUNTIFS(Tasks!$B$2:$B$202,$A30,Tasks!$D$2:$D$202,"Completed")</f>
        <v/>
      </c>
      <c r="C30" s="10">
        <f>COUNTIFS(Tasks!$B$2:$B$202,$A30,Tasks!$D$2:$D$202,"In Progress")</f>
        <v/>
      </c>
      <c r="D30" s="10">
        <f>COUNTIFS(Tasks!$B$2:$B$202,$A30,Tasks!$D$2:$D$202,"Not Started")</f>
        <v/>
      </c>
      <c r="E30" s="10">
        <f>SUM(B30:D30)</f>
        <v/>
      </c>
    </row>
    <row r="31">
      <c r="A31" s="9" t="inlineStr">
        <is>
          <t>14. Multi-Party &amp; Milestone Tracking (Lending Co-Pilot)</t>
        </is>
      </c>
      <c r="B31" s="10">
        <f>COUNTIFS(Tasks!$B$2:$B$202,$A31,Tasks!$D$2:$D$202,"Completed")</f>
        <v/>
      </c>
      <c r="C31" s="10">
        <f>COUNTIFS(Tasks!$B$2:$B$202,$A31,Tasks!$D$2:$D$202,"In Progress")</f>
        <v/>
      </c>
      <c r="D31" s="10">
        <f>COUNTIFS(Tasks!$B$2:$B$202,$A31,Tasks!$D$2:$D$202,"Not Started")</f>
        <v/>
      </c>
      <c r="E31" s="10">
        <f>SUM(B31:D31)</f>
        <v/>
      </c>
    </row>
    <row r="32">
      <c r="A32" s="9" t="inlineStr">
        <is>
          <t>15. Predictive Servicing (EarlyCare) — Post-MVP</t>
        </is>
      </c>
      <c r="B32" s="10">
        <f>COUNTIFS(Tasks!$B$2:$B$202,$A32,Tasks!$D$2:$D$202,"Completed")</f>
        <v/>
      </c>
      <c r="C32" s="10">
        <f>COUNTIFS(Tasks!$B$2:$B$202,$A32,Tasks!$D$2:$D$202,"In Progress")</f>
        <v/>
      </c>
      <c r="D32" s="10">
        <f>COUNTIFS(Tasks!$B$2:$B$202,$A32,Tasks!$D$2:$D$202,"Not Started")</f>
        <v/>
      </c>
      <c r="E32" s="10">
        <f>SUM(B32:D32)</f>
        <v/>
      </c>
    </row>
    <row r="33">
      <c r="A33" t="inlineStr">
        <is>
          <t>16. Document Authenticity — Digital Forensics &amp; Direct-Source Verification</t>
        </is>
      </c>
      <c r="B33">
        <f>COUNTIFS(Tasks!$B$2:$B$202,$A33,Tasks!$D$2:$D$202,"Completed")</f>
        <v/>
      </c>
      <c r="C33">
        <f>COUNTIFS(Tasks!$B$2:$B$202,$A33,Tasks!$D$2:$D$202,"In Progress")</f>
        <v/>
      </c>
      <c r="D33">
        <f>COUNTIFS(Tasks!$B$2:$B$202,$A33,Tasks!$D$2:$D$202,"Not Started")</f>
        <v/>
      </c>
      <c r="E33">
        <f>SUM(B33:D33)</f>
        <v/>
      </c>
    </row>
    <row r="34">
      <c r="A34" t="inlineStr">
        <is>
          <t>17. Identity, Address &amp; Credit Verification (KYC / Underwriting)</t>
        </is>
      </c>
      <c r="B34">
        <f>COUNTIFS(Tasks!$B$2:$B$202,$A34,Tasks!$D$2:$D$202,"Completed")</f>
        <v/>
      </c>
      <c r="C34">
        <f>COUNTIFS(Tasks!$B$2:$B$202,$A34,Tasks!$D$2:$D$202,"In Progress")</f>
        <v/>
      </c>
      <c r="D34">
        <f>COUNTIFS(Tasks!$B$2:$B$202,$A34,Tasks!$D$2:$D$202,"Not Started")</f>
        <v/>
      </c>
      <c r="E34">
        <f>SUM(B34:D34)</f>
        <v/>
      </c>
    </row>
    <row r="35">
      <c r="A35" t="inlineStr">
        <is>
          <t>18. Loan Decision &amp; Underwriter Exception Workflow</t>
        </is>
      </c>
      <c r="B35">
        <f>COUNTIFS(Tasks!$B$2:$B$202,$A35,Tasks!$D$2:$D$202,"Completed")</f>
        <v/>
      </c>
      <c r="C35">
        <f>COUNTIFS(Tasks!$B$2:$B$202,$A35,Tasks!$D$2:$D$202,"In Progress")</f>
        <v/>
      </c>
      <c r="D35">
        <f>COUNTIFS(Tasks!$B$2:$B$202,$A35,Tasks!$D$2:$D$202,"Not Started")</f>
        <v/>
      </c>
      <c r="E35">
        <f>SUM(B35:D35)</f>
        <v/>
      </c>
    </row>
    <row r="36">
      <c r="A36" t="inlineStr">
        <is>
          <t>19. Proposal Gaps — Promised in Submission, Not Yet Built</t>
        </is>
      </c>
      <c r="B36">
        <f>COUNTIFS(Tasks!$B$2:$B$202,$A36,Tasks!$D$2:$D$202,"Completed")</f>
        <v/>
      </c>
      <c r="C36">
        <f>COUNTIFS(Tasks!$B$2:$B$202,$A36,Tasks!$D$2:$D$202,"In Progress")</f>
        <v/>
      </c>
      <c r="D36">
        <f>COUNTIFS(Tasks!$B$2:$B$202,$A36,Tasks!$D$2:$D$202,"Not Started")</f>
        <v/>
      </c>
      <c r="E36">
        <f>SUM(B36:D36)</f>
        <v/>
      </c>
    </row>
    <row r="37">
      <c r="A37" t="inlineStr">
        <is>
          <t>20. Policy Documents &amp; Policy Page</t>
        </is>
      </c>
      <c r="B37">
        <f>COUNTIFS(Tasks!$B$2:$B$202,$A37,Tasks!$D$2:$D$202,"Completed")</f>
        <v/>
      </c>
      <c r="C37">
        <f>COUNTIFS(Tasks!$B$2:$B$202,$A37,Tasks!$D$2:$D$202,"In Progress")</f>
        <v/>
      </c>
      <c r="D37">
        <f>COUNTIFS(Tasks!$B$2:$B$202,$A37,Tasks!$D$2:$D$202,"Not Started")</f>
        <v/>
      </c>
      <c r="E37">
        <f>SUM(B37:D37)</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2"/>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Uploaded file bytes stored (fileData/mimeType on Document)</t>
        </is>
      </c>
      <c r="D29" s="13" t="inlineStr">
        <is>
          <t>Completed</t>
        </is>
      </c>
      <c r="E29" s="16" t="inlineStr"/>
      <c r="F29" s="17" t="inlineStr">
        <is>
          <t>Previously the temp file was deleted right after extraction with no copy kept anywhere — there was no way to check what you'd actually uploaded once processed</t>
        </is>
      </c>
    </row>
    <row r="30" ht="30" customHeight="1">
      <c r="A30" s="13" t="n">
        <v>29</v>
      </c>
      <c r="B30" s="14" t="inlineStr">
        <is>
          <t>4. Document Intelligence (OCR / AI Extraction)</t>
        </is>
      </c>
      <c r="C30" s="15" t="inlineStr">
        <is>
          <t>GET /documents/:id/file — preview/download the original upload</t>
        </is>
      </c>
      <c r="D30" s="13" t="inlineStr">
        <is>
          <t>Completed</t>
        </is>
      </c>
      <c r="E30" s="16" t="inlineStr"/>
      <c r="F30" s="17" t="inlineStr">
        <is>
          <t>Served inline with correct Content-Type; excluded from the main application/list fetch responses (.select('-fileData')) so those payloads don't balloon with binary data</t>
        </is>
      </c>
    </row>
    <row r="31" ht="30" customHeight="1">
      <c r="A31" s="13" t="n">
        <v>30</v>
      </c>
      <c r="B31" s="14" t="inlineStr">
        <is>
          <t>4. Document Intelligence (OCR / AI Extraction)</t>
        </is>
      </c>
      <c r="C31" s="15" t="inlineStr">
        <is>
          <t>DELETE /documents/:id — remove a document outright</t>
        </is>
      </c>
      <c r="D31" s="13" t="inlineStr">
        <is>
          <t>Completed</t>
        </is>
      </c>
      <c r="E31" s="16" t="inlineStr"/>
      <c r="F31" s="17" t="inlineStr">
        <is>
          <t>Distinct from a targeted re-upload (which supersedes and keeps the old one for audit trail) — this actually removes it; the required item goes back to 'missing'</t>
        </is>
      </c>
    </row>
    <row r="32" ht="30" customHeight="1">
      <c r="A32" s="13" t="n">
        <v>31</v>
      </c>
      <c r="B32" s="14" t="inlineStr">
        <is>
          <t>4. Document Intelligence (OCR / AI Extraction)</t>
        </is>
      </c>
      <c r="C32" s="15" t="inlineStr">
        <is>
          <t>Confidence scoring + low-confidence to human review routing</t>
        </is>
      </c>
      <c r="D32" s="13" t="inlineStr">
        <is>
          <t>Completed</t>
        </is>
      </c>
      <c r="E32" s="16" t="inlineStr"/>
      <c r="F32" s="17" t="inlineStr">
        <is>
          <t>services/verification.js</t>
        </is>
      </c>
    </row>
    <row r="33" ht="30" customHeight="1">
      <c r="A33" s="13" t="n">
        <v>32</v>
      </c>
      <c r="B33" s="14" t="inlineStr">
        <is>
          <t>4. Document Intelligence (OCR / AI Extraction)</t>
        </is>
      </c>
      <c r="C33" s="15" t="inlineStr">
        <is>
          <t>Extraction accuracy tuning against real-world-style documents</t>
        </is>
      </c>
      <c r="D33" s="13" t="inlineStr">
        <is>
          <t>Not Started</t>
        </is>
      </c>
      <c r="E33" s="16" t="inlineStr"/>
      <c r="F33" s="17" t="inlineStr">
        <is>
          <t>Only validated against synthetic generated images so far</t>
        </is>
      </c>
    </row>
    <row r="34" ht="30" customHeight="1">
      <c r="A34" s="13" t="n">
        <v>33</v>
      </c>
      <c r="B34" s="14" t="inlineStr">
        <is>
          <t>4. Document Intelligence (OCR / AI Extraction)</t>
        </is>
      </c>
      <c r="C34" s="15" t="inlineStr">
        <is>
          <t>MOCK_AI bypass — canned extraction results, no Anthropic API call</t>
        </is>
      </c>
      <c r="D34" s="13" t="inlineStr">
        <is>
          <t>Completed</t>
        </is>
      </c>
      <c r="E34" s="16" t="inlineStr"/>
      <c r="F34"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5" ht="30" customHeight="1">
      <c r="A35" s="13" t="n">
        <v>34</v>
      </c>
      <c r="B35" s="14" t="inlineStr">
        <is>
          <t>5. Cross-Verification Engine</t>
        </is>
      </c>
      <c r="C35" s="15" t="inlineStr">
        <is>
          <t>Deterministic rule engine (not LLM — explainable/auditable)</t>
        </is>
      </c>
      <c r="D35" s="13" t="inlineStr">
        <is>
          <t>Completed</t>
        </is>
      </c>
      <c r="E35" s="16" t="inlineStr"/>
      <c r="F35" s="17" t="inlineStr">
        <is>
          <t>services/verification.js</t>
        </is>
      </c>
    </row>
    <row r="36" ht="30" customHeight="1">
      <c r="A36" s="13" t="n">
        <v>35</v>
      </c>
      <c r="B36" s="14" t="inlineStr">
        <is>
          <t>5. Cross-Verification Engine</t>
        </is>
      </c>
      <c r="C36" s="15" t="inlineStr">
        <is>
          <t>Name match check</t>
        </is>
      </c>
      <c r="D36" s="13" t="inlineStr">
        <is>
          <t>Completed</t>
        </is>
      </c>
      <c r="E36" s="16" t="inlineStr"/>
      <c r="F36" s="17" t="inlineStr"/>
    </row>
    <row r="37" ht="30" customHeight="1">
      <c r="A37" s="13" t="n">
        <v>36</v>
      </c>
      <c r="B37" s="14" t="inlineStr">
        <is>
          <t>5. Cross-Verification Engine</t>
        </is>
      </c>
      <c r="C37" s="15" t="inlineStr">
        <is>
          <t>Income match check (5% tolerance)</t>
        </is>
      </c>
      <c r="D37" s="13" t="inlineStr">
        <is>
          <t>Completed</t>
        </is>
      </c>
      <c r="E37" s="16" t="inlineStr"/>
      <c r="F37" s="17" t="inlineStr"/>
    </row>
    <row r="38" ht="30" customHeight="1">
      <c r="A38" s="13" t="n">
        <v>37</v>
      </c>
      <c r="B38" s="14" t="inlineStr">
        <is>
          <t>5. Cross-Verification Engine</t>
        </is>
      </c>
      <c r="C38" s="15" t="inlineStr">
        <is>
          <t>Employer match check</t>
        </is>
      </c>
      <c r="D38" s="13" t="inlineStr">
        <is>
          <t>Completed</t>
        </is>
      </c>
      <c r="E38" s="16" t="inlineStr"/>
      <c r="F38" s="17" t="inlineStr"/>
    </row>
    <row r="39" ht="30" customHeight="1">
      <c r="A39" s="13" t="n">
        <v>38</v>
      </c>
      <c r="B39" s="14" t="inlineStr">
        <is>
          <t>5. Cross-Verification Engine</t>
        </is>
      </c>
      <c r="C39" s="15" t="inlineStr">
        <is>
          <t>SSN (last 4) match check</t>
        </is>
      </c>
      <c r="D39" s="13" t="inlineStr">
        <is>
          <t>Completed</t>
        </is>
      </c>
      <c r="E39" s="16" t="inlineStr"/>
      <c r="F39" s="17" t="inlineStr"/>
    </row>
    <row r="40" ht="30" customHeight="1">
      <c r="A40" s="13" t="n">
        <v>39</v>
      </c>
      <c r="B40" s="14" t="inlineStr">
        <is>
          <t>5. Cross-Verification Engine</t>
        </is>
      </c>
      <c r="C40" s="15" t="inlineStr">
        <is>
          <t>Business name / DBA match check</t>
        </is>
      </c>
      <c r="D40" s="13" t="inlineStr">
        <is>
          <t>Completed</t>
        </is>
      </c>
      <c r="E40" s="16" t="inlineStr"/>
      <c r="F40" s="17" t="inlineStr">
        <is>
          <t>Demonstrates the entity-name-mismatch pattern found in production loan-servicing tickets</t>
        </is>
      </c>
    </row>
    <row r="41" ht="30" customHeight="1">
      <c r="A41" s="13" t="n">
        <v>40</v>
      </c>
      <c r="B41" s="14" t="inlineStr">
        <is>
          <t>5. Cross-Verification Engine</t>
        </is>
      </c>
      <c r="C41" s="15" t="inlineStr">
        <is>
          <t>Annual business revenue match check</t>
        </is>
      </c>
      <c r="D41" s="13" t="inlineStr">
        <is>
          <t>Completed</t>
        </is>
      </c>
      <c r="E41" s="16" t="inlineStr"/>
      <c r="F41" s="17" t="inlineStr"/>
    </row>
    <row r="42" ht="30" customHeight="1">
      <c r="A42" s="13" t="n">
        <v>41</v>
      </c>
      <c r="B42" s="14" t="inlineStr">
        <is>
          <t>5. Cross-Verification Engine</t>
        </is>
      </c>
      <c r="C42" s="15" t="inlineStr">
        <is>
          <t>Missing-document detection</t>
        </is>
      </c>
      <c r="D42" s="13" t="inlineStr">
        <is>
          <t>Completed</t>
        </is>
      </c>
      <c r="E42" s="16" t="inlineStr"/>
      <c r="F42" s="17" t="inlineStr">
        <is>
          <t>missingDocuments() in verification.js</t>
        </is>
      </c>
    </row>
    <row r="43" ht="30" customHeight="1">
      <c r="A43" s="13" t="n">
        <v>42</v>
      </c>
      <c r="B43" s="14" t="inlineStr">
        <is>
          <t>5. Cross-Verification Engine</t>
        </is>
      </c>
      <c r="C43" s="15" t="inlineStr">
        <is>
          <t>Requested-amount affordability check (auto-loan, personal-loan, small-business-loan)</t>
        </is>
      </c>
      <c r="D43" s="13" t="inlineStr">
        <is>
          <t>Completed</t>
        </is>
      </c>
      <c r="E43" s="16" t="inlineStr"/>
      <c r="F43" s="17" t="inlineStr">
        <is>
          <t>New — compares requestedAmount against a simplified income/revenue-based estimate; flags as Warning, never auto-declines. Not a real credit/DSCR calculation</t>
        </is>
      </c>
    </row>
    <row r="44" ht="30" customHeight="1">
      <c r="A44" s="13" t="n">
        <v>43</v>
      </c>
      <c r="B44" s="14" t="inlineStr">
        <is>
          <t>5. Cross-Verification Engine</t>
        </is>
      </c>
      <c r="C44" s="15" t="inlineStr">
        <is>
          <t>Warning-level flags surface at the application list level, not just inside document detail</t>
        </is>
      </c>
      <c r="D44" s="13" t="inlineStr">
        <is>
          <t>Completed</t>
        </is>
      </c>
      <c r="E44" s="16" t="inlineStr"/>
      <c r="F44" s="17" t="inlineStr">
        <is>
          <t>Fixed today — routes/documents.js previously only bumped application status to Needs Review on a hard Mismatch, so an affordability warning was invisible in the officer's list view</t>
        </is>
      </c>
    </row>
    <row r="45" ht="30" customHeight="1">
      <c r="A45" s="13" t="n">
        <v>44</v>
      </c>
      <c r="B45" s="14" t="inlineStr">
        <is>
          <t>5. Cross-Verification Engine</t>
        </is>
      </c>
      <c r="C45" s="15" t="inlineStr">
        <is>
          <t>US currency formatting fixed regardless of server/browser locale</t>
        </is>
      </c>
      <c r="D45" s="13" t="inlineStr">
        <is>
          <t>Completed</t>
        </is>
      </c>
      <c r="E45" s="16" t="inlineStr"/>
      <c r="F45" s="17" t="inlineStr">
        <is>
          <t>toLocaleString() was rendering $3,40,000-style grouping on non-US locales; forced to 'en-US' across backend and frontend</t>
        </is>
      </c>
    </row>
    <row r="46" ht="30" customHeight="1">
      <c r="A46" s="13" t="n">
        <v>45</v>
      </c>
      <c r="B46" s="14" t="inlineStr">
        <is>
          <t>5. Cross-Verification Engine</t>
        </is>
      </c>
      <c r="C46" s="15" t="inlineStr">
        <is>
          <t>One-click 'request missing document' email to borrower</t>
        </is>
      </c>
      <c r="D46" s="13" t="inlineStr">
        <is>
          <t>Completed</t>
        </is>
      </c>
      <c r="E46" s="16" t="inlineStr"/>
      <c r="F46" s="17" t="inlineStr">
        <is>
          <t>Superseded by the richer in-app live-exception + targeted self-service re-upload flow — see Section 13. No email/SMS needed; the borrower sees and fixes it directly in the app</t>
        </is>
      </c>
    </row>
    <row r="47" ht="30" customHeight="1">
      <c r="A47" s="13" t="n">
        <v>46</v>
      </c>
      <c r="B47" s="14" t="inlineStr">
        <is>
          <t>6. RAG Assistant (Conversational Q&amp;A)</t>
        </is>
      </c>
      <c r="C47" s="15" t="inlineStr">
        <is>
          <t>Policy corpus grounding (full corpus in context — no vector DB yet)</t>
        </is>
      </c>
      <c r="D47" s="13" t="inlineStr">
        <is>
          <t>Completed</t>
        </is>
      </c>
      <c r="E47" s="16" t="inlineStr"/>
      <c r="F47" s="17" t="inlineStr">
        <is>
          <t>services/rag.js</t>
        </is>
      </c>
    </row>
    <row r="48" ht="30" customHeight="1">
      <c r="A48" s="13" t="n">
        <v>47</v>
      </c>
      <c r="B48" s="14" t="inlineStr">
        <is>
          <t>6. RAG Assistant (Conversational Q&amp;A)</t>
        </is>
      </c>
      <c r="C48" s="15" t="inlineStr">
        <is>
          <t>Citation / source attribution on every answer</t>
        </is>
      </c>
      <c r="D48" s="13" t="inlineStr">
        <is>
          <t>Completed</t>
        </is>
      </c>
      <c r="E48" s="16" t="inlineStr"/>
      <c r="F48" s="17" t="inlineStr"/>
    </row>
    <row r="49" ht="30" customHeight="1">
      <c r="A49" s="13" t="n">
        <v>48</v>
      </c>
      <c r="B49" s="14" t="inlineStr">
        <is>
          <t>6. RAG Assistant (Conversational Q&amp;A)</t>
        </is>
      </c>
      <c r="C49" s="15" t="inlineStr">
        <is>
          <t>Role-aware answers (officer vs. borrower)</t>
        </is>
      </c>
      <c r="D49" s="13" t="inlineStr">
        <is>
          <t>Completed</t>
        </is>
      </c>
      <c r="E49" s="16" t="inlineStr"/>
      <c r="F49" s="17" t="inlineStr"/>
    </row>
    <row r="50" ht="30" customHeight="1">
      <c r="A50" s="13" t="n">
        <v>49</v>
      </c>
      <c r="B50" s="14" t="inlineStr">
        <is>
          <t>6. RAG Assistant (Conversational Q&amp;A)</t>
        </is>
      </c>
      <c r="C50" s="15" t="inlineStr">
        <is>
          <t>Refusal behavior for out-of-corpus questions (no invented rates/policy)</t>
        </is>
      </c>
      <c r="D50" s="13" t="inlineStr">
        <is>
          <t>Completed</t>
        </is>
      </c>
      <c r="E50" s="16" t="inlineStr"/>
      <c r="F50" s="17" t="inlineStr">
        <is>
          <t>Validated in data/seed/test-questions.md</t>
        </is>
      </c>
    </row>
    <row r="51" ht="30" customHeight="1">
      <c r="A51" s="13" t="n">
        <v>50</v>
      </c>
      <c r="B51" s="14" t="inlineStr">
        <is>
          <t>6. RAG Assistant (Conversational Q&amp;A)</t>
        </is>
      </c>
      <c r="C51" s="15" t="inlineStr">
        <is>
          <t>Small-business loan Q&amp;A coverage</t>
        </is>
      </c>
      <c r="D51" s="13" t="inlineStr">
        <is>
          <t>Completed</t>
        </is>
      </c>
      <c r="E51" s="16" t="inlineStr"/>
      <c r="F51" s="17" t="inlineStr">
        <is>
          <t>test-questions.md items 19-23</t>
        </is>
      </c>
    </row>
    <row r="52" ht="30" customHeight="1">
      <c r="A52" s="13" t="n">
        <v>51</v>
      </c>
      <c r="B52" s="14" t="inlineStr">
        <is>
          <t>6. RAG Assistant (Conversational Q&amp;A)</t>
        </is>
      </c>
      <c r="C52" s="15" t="inlineStr">
        <is>
          <t>WhatsApp channel for the assistant</t>
        </is>
      </c>
      <c r="D52" s="13" t="inlineStr">
        <is>
          <t>Not Started</t>
        </is>
      </c>
      <c r="E52" s="16" t="inlineStr"/>
      <c r="F52" s="17" t="inlineStr">
        <is>
          <t>See Section 9</t>
        </is>
      </c>
    </row>
    <row r="53" ht="30" customHeight="1">
      <c r="A53" s="13" t="n">
        <v>52</v>
      </c>
      <c r="B53" s="14" t="inlineStr">
        <is>
          <t>6. RAG Assistant (Conversational Q&amp;A)</t>
        </is>
      </c>
      <c r="C53" s="15" t="inlineStr">
        <is>
          <t>Adverse Action notice auto-drafting (policy-grounded)</t>
        </is>
      </c>
      <c r="D53" s="13" t="inlineStr">
        <is>
          <t>Not Started</t>
        </is>
      </c>
      <c r="E53" s="16" t="inlineStr"/>
      <c r="F53" s="17" t="inlineStr">
        <is>
          <t>Recommended add-on from pain-point research — not yet scoped [2026-10-22] A template decline notice (ECOA wording) is shown to borrowers on rejection; a compliant adverse-action notice is tracked in Section 18.</t>
        </is>
      </c>
    </row>
    <row r="54" ht="30" customHeight="1">
      <c r="A54" s="13" t="n">
        <v>53</v>
      </c>
      <c r="B54" s="14" t="inlineStr">
        <is>
          <t>6. RAG Assistant (Conversational Q&amp;A)</t>
        </is>
      </c>
      <c r="C54" s="15" t="inlineStr">
        <is>
          <t>Embeddings + vector search (scale-up path)</t>
        </is>
      </c>
      <c r="D54" s="13" t="inlineStr">
        <is>
          <t>Not Started</t>
        </is>
      </c>
      <c r="E54" s="16" t="inlineStr"/>
      <c r="F54" s="17" t="inlineStr">
        <is>
          <t>Deliberately deferred — full corpus fits in context for the POC (ROADMAP.md)</t>
        </is>
      </c>
    </row>
    <row r="55" ht="30" customHeight="1">
      <c r="A55" s="13" t="n">
        <v>54</v>
      </c>
      <c r="B55" s="14" t="inlineStr">
        <is>
          <t>7. Frontend — Screens &amp; Navigation</t>
        </is>
      </c>
      <c r="C55" s="15" t="inlineStr">
        <is>
          <t>Navigation shell (auth-gated stack navigation)</t>
        </is>
      </c>
      <c r="D55" s="13" t="inlineStr">
        <is>
          <t>Completed</t>
        </is>
      </c>
      <c r="E55" s="16" t="inlineStr"/>
      <c r="F55" s="17" t="inlineStr">
        <is>
          <t>App.js</t>
        </is>
      </c>
    </row>
    <row r="56" ht="30" customHeight="1">
      <c r="A56" s="13" t="n">
        <v>55</v>
      </c>
      <c r="B56" s="14" t="inlineStr">
        <is>
          <t>7. Frontend — Screens &amp; Navigation</t>
        </is>
      </c>
      <c r="C56" s="15" t="inlineStr">
        <is>
          <t>Login screen</t>
        </is>
      </c>
      <c r="D56" s="13" t="inlineStr">
        <is>
          <t>Completed</t>
        </is>
      </c>
      <c r="E56" s="16" t="inlineStr"/>
      <c r="F56" s="17" t="inlineStr"/>
    </row>
    <row r="57" ht="30" customHeight="1">
      <c r="A57" s="13" t="n">
        <v>56</v>
      </c>
      <c r="B57" s="14" t="inlineStr">
        <is>
          <t>7. Frontend — Screens &amp; Navigation</t>
        </is>
      </c>
      <c r="C57" s="15" t="inlineStr">
        <is>
          <t>Applications list screen</t>
        </is>
      </c>
      <c r="D57" s="13" t="inlineStr">
        <is>
          <t>Completed</t>
        </is>
      </c>
      <c r="E57" s="16" t="inlineStr"/>
      <c r="F57" s="17" t="inlineStr">
        <is>
          <t>Officer sees all; borrower sees only their own</t>
        </is>
      </c>
    </row>
    <row r="58" ht="30" customHeight="1">
      <c r="A58" s="13" t="n">
        <v>57</v>
      </c>
      <c r="B58" s="14" t="inlineStr">
        <is>
          <t>7. Frontend — Screens &amp; Navigation</t>
        </is>
      </c>
      <c r="C58" s="15" t="inlineStr">
        <is>
          <t>Application detail screen (header facts + tab bar)</t>
        </is>
      </c>
      <c r="D58" s="13" t="inlineStr">
        <is>
          <t>Completed</t>
        </is>
      </c>
      <c r="E58" s="16" t="inlineStr"/>
      <c r="F58" s="17" t="inlineStr">
        <is>
          <t>Branches fact display by product type</t>
        </is>
      </c>
    </row>
    <row r="59" ht="30" customHeight="1">
      <c r="A59" s="13" t="n">
        <v>58</v>
      </c>
      <c r="B59" s="14" t="inlineStr">
        <is>
          <t>7. Frontend — Screens &amp; Navigation</t>
        </is>
      </c>
      <c r="C59" s="15" t="inlineStr">
        <is>
          <t>Documents tab — upload + extracted fields display</t>
        </is>
      </c>
      <c r="D59" s="13" t="inlineStr">
        <is>
          <t>Completed</t>
        </is>
      </c>
      <c r="E59" s="16" t="inlineStr"/>
      <c r="F59" s="17" t="inlineStr"/>
    </row>
    <row r="60" ht="30" customHeight="1">
      <c r="A60" s="13" t="n">
        <v>59</v>
      </c>
      <c r="B60" s="14" t="inlineStr">
        <is>
          <t>7. Frontend — Screens &amp; Navigation</t>
        </is>
      </c>
      <c r="C60" s="15" t="inlineStr">
        <is>
          <t>Verification tab — checks + missing documents</t>
        </is>
      </c>
      <c r="D60" s="13" t="inlineStr">
        <is>
          <t>Completed</t>
        </is>
      </c>
      <c r="E60" s="16" t="inlineStr"/>
      <c r="F60" s="17" t="inlineStr"/>
    </row>
    <row r="61" ht="30" customHeight="1">
      <c r="A61" s="13" t="n">
        <v>60</v>
      </c>
      <c r="B61" s="14" t="inlineStr">
        <is>
          <t>7. Frontend — Screens &amp; Navigation</t>
        </is>
      </c>
      <c r="C61" s="15" t="inlineStr">
        <is>
          <t>Assistant tab — chat UI with source chips</t>
        </is>
      </c>
      <c r="D61" s="13" t="inlineStr">
        <is>
          <t>Completed</t>
        </is>
      </c>
      <c r="E61" s="16" t="inlineStr"/>
      <c r="F61" s="17" t="inlineStr"/>
    </row>
    <row r="62" ht="30" customHeight="1">
      <c r="A62" s="13" t="n">
        <v>61</v>
      </c>
      <c r="B62" s="14" t="inlineStr">
        <is>
          <t>7. Frontend — Screens &amp; Navigation</t>
        </is>
      </c>
      <c r="C62" s="15" t="inlineStr">
        <is>
          <t>Small-business-specific detail view (business name / revenue facts)</t>
        </is>
      </c>
      <c r="D62" s="13" t="inlineStr">
        <is>
          <t>Completed</t>
        </is>
      </c>
      <c r="E62" s="16" t="inlineStr"/>
      <c r="F62" s="17" t="inlineStr"/>
    </row>
    <row r="63" ht="30" customHeight="1">
      <c r="A63" s="13" t="n">
        <v>62</v>
      </c>
      <c r="B63" s="14" t="inlineStr">
        <is>
          <t>7. Frontend — Screens &amp; Navigation</t>
        </is>
      </c>
      <c r="C63" s="15" t="inlineStr">
        <is>
          <t>Fintech-styled visual design pass</t>
        </is>
      </c>
      <c r="D63" s="13" t="inlineStr">
        <is>
          <t>Completed</t>
        </is>
      </c>
      <c r="E63" s="16" t="inlineStr"/>
      <c r="F63" s="17" t="inlineStr">
        <is>
          <t>Per recent commit history</t>
        </is>
      </c>
    </row>
    <row r="64" ht="30" customHeight="1">
      <c r="A64" s="13" t="n">
        <v>63</v>
      </c>
      <c r="B64" s="14" t="inlineStr">
        <is>
          <t>7. Frontend — Screens &amp; Navigation</t>
        </is>
      </c>
      <c r="C64" s="15" t="inlineStr">
        <is>
          <t>Sign-up screen (self-registration, role picker)</t>
        </is>
      </c>
      <c r="D64" s="13" t="inlineStr">
        <is>
          <t>Completed</t>
        </is>
      </c>
      <c r="E64" s="16" t="inlineStr"/>
      <c r="F64" s="17" t="inlineStr">
        <is>
          <t>SignUpScreen.js</t>
        </is>
      </c>
    </row>
    <row r="65" ht="30" customHeight="1">
      <c r="A65" s="13" t="n">
        <v>64</v>
      </c>
      <c r="B65" s="14" t="inlineStr">
        <is>
          <t>7. Frontend — Screens &amp; Navigation</t>
        </is>
      </c>
      <c r="C65" s="15" t="inlineStr">
        <is>
          <t>New Application screen ('Apply for a Loan')</t>
        </is>
      </c>
      <c r="D65" s="13" t="inlineStr">
        <is>
          <t>Completed</t>
        </is>
      </c>
      <c r="E65" s="16" t="inlineStr"/>
      <c r="F65" s="17" t="inlineStr">
        <is>
          <t>NewApplicationScreen.js — product-type picker with conditional fields (consumer income/employer vs. business name/revenue), submits to POST /applications then lands on that application's Documents tab</t>
        </is>
      </c>
    </row>
    <row r="66" ht="30" customHeight="1">
      <c r="A66" s="13" t="n">
        <v>65</v>
      </c>
      <c r="B66" s="14" t="inlineStr">
        <is>
          <t>7. Frontend — Screens &amp; Navigation</t>
        </is>
      </c>
      <c r="C66" s="15" t="inlineStr">
        <is>
          <t>'New application' entry point on the borrower's Applications list</t>
        </is>
      </c>
      <c r="D66" s="13" t="inlineStr">
        <is>
          <t>Completed</t>
        </is>
      </c>
      <c r="E66" s="16" t="inlineStr"/>
      <c r="F66" s="17" t="inlineStr">
        <is>
          <t>Officer role doesn't see this button — they don't file applications for themselves</t>
        </is>
      </c>
    </row>
    <row r="67" ht="30" customHeight="1">
      <c r="A67" s="13" t="n">
        <v>66</v>
      </c>
      <c r="B67" s="14" t="inlineStr">
        <is>
          <t>7. Frontend — Screens &amp; Navigation</t>
        </is>
      </c>
      <c r="C67" s="15" t="inlineStr">
        <is>
          <t>Multi-step wizard for the Apply form (Select Product -&gt; Tell Us About Yourself -&gt; Tell Us More About Yourself -&gt; Disclosures &amp; Submit)</t>
        </is>
      </c>
      <c r="D67" s="13" t="inlineStr">
        <is>
          <t>Completed</t>
        </is>
      </c>
      <c r="E67" s="16" t="inlineStr"/>
      <c r="F67" s="17" t="inlineStr">
        <is>
          <t>Matches the real DAO intake step boundaries from Rovo research; per-step validation blocks advancing with missing required fields, progress dots show position</t>
        </is>
      </c>
    </row>
    <row r="68" ht="30" customHeight="1">
      <c r="A68" s="13" t="n">
        <v>67</v>
      </c>
      <c r="B68" s="14" t="inlineStr">
        <is>
          <t>7. Frontend — Screens &amp; Navigation</t>
        </is>
      </c>
      <c r="C68" s="15" t="inlineStr">
        <is>
          <t>Persistent branded header on every authenticated screen (logo, page title, profile menu)</t>
        </is>
      </c>
      <c r="D68" s="13" t="inlineStr">
        <is>
          <t>Completed</t>
        </is>
      </c>
      <c r="E68" s="16" t="inlineStr"/>
      <c r="F68" s="17" t="inlineStr">
        <is>
          <t>components/BrandHeader.js, wired globally via Stack.Navigator screenOptions.header — previously each screen had its own inconsistent title ('Application', 'Apply for a Loan') with no logo/branding and no way to sign out except from the Applications list</t>
        </is>
      </c>
    </row>
    <row r="69" ht="30" customHeight="1">
      <c r="A69" s="13" t="n">
        <v>68</v>
      </c>
      <c r="B69" s="14" t="inlineStr">
        <is>
          <t>7. Frontend — Screens &amp; Navigation</t>
        </is>
      </c>
      <c r="C69" s="15" t="inlineStr">
        <is>
          <t>Responsive left sidebar navigation (desktop-width viewports)</t>
        </is>
      </c>
      <c r="D69" s="13" t="inlineStr">
        <is>
          <t>Completed</t>
        </is>
      </c>
      <c r="E69" s="16" t="inlineStr"/>
      <c r="F69" s="17" t="inlineStr">
        <is>
          <t>components/Sidebar.js — Applications / Apply for a Loan links, role-aware. Rendered outside the Stack.Navigator's own subtree so it persists across screen changes; navigates via a navigationRef (React Navigation's documented pattern for navigating from outside the navigator tree, since useNavigation() isn't available there). Hidden below 900px width — mobile/narrow-browser experience unchanged</t>
        </is>
      </c>
    </row>
    <row r="70" ht="30" customHeight="1">
      <c r="A70" s="13" t="n">
        <v>69</v>
      </c>
      <c r="B70" s="14" t="inlineStr">
        <is>
          <t>7. Frontend — Screens &amp; Navigation</t>
        </is>
      </c>
      <c r="C70" s="15" t="inlineStr">
        <is>
          <t>Floating Assistant button on the application detail screen</t>
        </is>
      </c>
      <c r="D70" s="13" t="inlineStr">
        <is>
          <t>Completed</t>
        </is>
      </c>
      <c r="E70" s="16" t="inlineStr"/>
      <c r="F70" s="17" t="inlineStr">
        <is>
          <t>Bottom-right chat-bubble FAB jumps straight to the Assistant tab; hidden while already on that tab</t>
        </is>
      </c>
    </row>
    <row r="71" ht="30" customHeight="1">
      <c r="A71" s="13" t="n">
        <v>70</v>
      </c>
      <c r="B71" s="14" t="inlineStr">
        <is>
          <t>7. Frontend — Screens &amp; Navigation</t>
        </is>
      </c>
      <c r="C71" s="15" t="inlineStr">
        <is>
          <t>Issue-list rendering split into individual rows (not one run-on paragraph)</t>
        </is>
      </c>
      <c r="D71" s="13" t="inlineStr">
        <is>
          <t>Completed</t>
        </is>
      </c>
      <c r="E71" s="16" t="inlineStr"/>
      <c r="F71" s="17" t="inlineStr">
        <is>
          <t>See prior commit — DocumentsTab now renders each flagged check on a document as its own row</t>
        </is>
      </c>
    </row>
    <row r="72" ht="30" customHeight="1">
      <c r="A72" s="13" t="n">
        <v>71</v>
      </c>
      <c r="B72" s="14" t="inlineStr">
        <is>
          <t>8. Synthetic Demo Data</t>
        </is>
      </c>
      <c r="C72" s="15" t="inlineStr">
        <is>
          <t>Policy corpus — 6 markdown policies</t>
        </is>
      </c>
      <c r="D72" s="13" t="inlineStr">
        <is>
          <t>Completed</t>
        </is>
      </c>
      <c r="E72" s="16" t="inlineStr"/>
      <c r="F72" s="17" t="inlineStr">
        <is>
          <t>Application process, document checklist, income verification, auto-loan, personal-loan, FAQ</t>
        </is>
      </c>
    </row>
    <row r="73" ht="30" customHeight="1">
      <c r="A73" s="13" t="n">
        <v>72</v>
      </c>
      <c r="B73" s="14" t="inlineStr">
        <is>
          <t>8. Synthetic Demo Data</t>
        </is>
      </c>
      <c r="C73" s="15" t="inlineStr">
        <is>
          <t>Small Business Loan Requirements policy</t>
        </is>
      </c>
      <c r="D73" s="13" t="inlineStr">
        <is>
          <t>Completed</t>
        </is>
      </c>
      <c r="E73" s="16" t="inlineStr"/>
      <c r="F73" s="17" t="inlineStr">
        <is>
          <t>data/policies/small-business-loan-requirements.md</t>
        </is>
      </c>
    </row>
    <row r="74" ht="30" customHeight="1">
      <c r="A74" s="13" t="n">
        <v>73</v>
      </c>
      <c r="B74" s="14" t="inlineStr">
        <is>
          <t>8. Synthetic Demo Data</t>
        </is>
      </c>
      <c r="C74" s="15" t="inlineStr">
        <is>
          <t>Consumer demo documents — Jordan Rivera (pay stub, license, bank statement)</t>
        </is>
      </c>
      <c r="D74" s="13" t="inlineStr">
        <is>
          <t>Completed</t>
        </is>
      </c>
      <c r="E74" s="16" t="inlineStr"/>
      <c r="F74" s="17" t="inlineStr">
        <is>
          <t>Planted income mismatch: $4,200 vs. $5,000 stated</t>
        </is>
      </c>
    </row>
    <row r="75" ht="30" customHeight="1">
      <c r="A75" s="13" t="n">
        <v>74</v>
      </c>
      <c r="B75" s="14" t="inlineStr">
        <is>
          <t>8. Synthetic Demo Data</t>
        </is>
      </c>
      <c r="C75" s="15" t="inlineStr">
        <is>
          <t>Breadth/QA demo documents — Priya Nair (clean/happy-path) and Arjun Mehta (employer-mismatch warning)</t>
        </is>
      </c>
      <c r="D75" s="13" t="inlineStr">
        <is>
          <t>Completed</t>
        </is>
      </c>
      <c r="E75" s="16" t="inlineStr"/>
      <c r="F75" s="17" t="inlineStr">
        <is>
          <t>Priya Nair and Arjun Mehta previously had zero document images despite being seeded applicants. Arjun's set is the only scenario exercising the softer 'warning' tier (employer differs) rather than a hard 'mismatch' — verified both against verification.js directly (Priya: overall 'pass'; Arjun: only the Employer check fires, overall 'needs-review')</t>
        </is>
      </c>
    </row>
    <row r="76" ht="30" customHeight="1">
      <c r="A76" s="13" t="n">
        <v>75</v>
      </c>
      <c r="B76" s="14" t="inlineStr">
        <is>
          <t>8. Synthetic Demo Data</t>
        </is>
      </c>
      <c r="C76" s="15" t="inlineStr">
        <is>
          <t>'Perfect application' pre-seeded (Priya Nair, all 3 docs uploaded + verified clean)</t>
        </is>
      </c>
      <c r="D76" s="13" t="inlineStr">
        <is>
          <t>Completed</t>
        </is>
      </c>
      <c r="E76" s="16" t="inlineStr"/>
      <c r="F76" s="17" t="inlineStr">
        <is>
          <t>Reuses the MOCK_AI fixture data + real verifyDocument() so it's guaranteed consistent with a live upload of the same files; includes the actual file bytes so Preview works immediately, not just an empty verification result</t>
        </is>
      </c>
    </row>
    <row r="77" ht="30" customHeight="1">
      <c r="A77" s="13" t="n">
        <v>76</v>
      </c>
      <c r="B77" s="14" t="inlineStr">
        <is>
          <t>8. Synthetic Demo Data</t>
        </is>
      </c>
      <c r="C77" s="15" t="inlineStr">
        <is>
          <t>Document preview/download (opens the actual uploaded file, big view, in a new tab)</t>
        </is>
      </c>
      <c r="D77" s="13" t="inlineStr">
        <is>
          <t>Completed</t>
        </is>
      </c>
      <c r="E77" s="16" t="inlineStr"/>
      <c r="F77" s="17" t="inlineStr">
        <is>
          <t>Authenticated blob fetch + object URL, not a plain link — the file route needs a Bearer token a plain &lt;a href&gt; can't attach. Tab opened synchronously on tap so the async fetch doesn't get popup-blocked</t>
        </is>
      </c>
    </row>
    <row r="78" ht="30" customHeight="1">
      <c r="A78" s="13" t="n">
        <v>77</v>
      </c>
      <c r="B78" s="14" t="inlineStr">
        <is>
          <t>8. Synthetic Demo Data</t>
        </is>
      </c>
      <c r="C78" s="15" t="inlineStr">
        <is>
          <t>Document delete (with a working confirmation dialog)</t>
        </is>
      </c>
      <c r="D78" s="13" t="inlineStr">
        <is>
          <t>Completed</t>
        </is>
      </c>
      <c r="E78" s="16" t="inlineStr"/>
      <c r="F78" s="17" t="inlineStr">
        <is>
          <t>Checked react-native-web's actual Alert.alert source before using it — it's a documented no-op on web, would have made Delete silently do nothing when clicked in a browser. Uses window.confirm on web, Alert.alert on native</t>
        </is>
      </c>
    </row>
    <row r="79" ht="30" customHeight="1">
      <c r="A79" s="13" t="n">
        <v>78</v>
      </c>
      <c r="B79" s="14" t="inlineStr">
        <is>
          <t>8. Synthetic Demo Data</t>
        </is>
      </c>
      <c r="C79" s="15" t="inlineStr">
        <is>
          <t>'Uploaded Documents' section heading + filename shown on each document card</t>
        </is>
      </c>
      <c r="D79" s="13" t="inlineStr">
        <is>
          <t>Completed</t>
        </is>
      </c>
      <c r="E79" s="16" t="inlineStr"/>
      <c r="F79" s="17" t="inlineStr">
        <is>
          <t>Previously a first-time viewer had no heading distinguishing the uploaded-document cards from anything else, and no way to tell which file was actually behind a given card</t>
        </is>
      </c>
    </row>
    <row r="80" ht="30" customHeight="1">
      <c r="A80" s="13" t="n">
        <v>79</v>
      </c>
      <c r="B80" s="14" t="inlineStr">
        <is>
          <t>8. Synthetic Demo Data</t>
        </is>
      </c>
      <c r="C80" s="15" t="inlineStr">
        <is>
          <t>Small-business demo documents — Whitfield &amp; Co. Bakery LLC</t>
        </is>
      </c>
      <c r="D80" s="13" t="inlineStr">
        <is>
          <t>Completed</t>
        </is>
      </c>
      <c r="E80" s="16" t="inlineStr"/>
      <c r="F80" s="17" t="inlineStr">
        <is>
          <t>Tax return, personal financial statement, business license, ownership disclosure; planted revenue mismatch ($275,400 vs. $340,000) and entity-name mismatch</t>
        </is>
      </c>
    </row>
    <row r="81" ht="30" customHeight="1">
      <c r="A81" s="13" t="n">
        <v>80</v>
      </c>
      <c r="B81" s="14" t="inlineStr">
        <is>
          <t>8. Synthetic Demo Data</t>
        </is>
      </c>
      <c r="C81" s="15" t="inlineStr">
        <is>
          <t>Test question bank (acceptance checklist)</t>
        </is>
      </c>
      <c r="D81" s="13" t="inlineStr">
        <is>
          <t>Completed</t>
        </is>
      </c>
      <c r="E81" s="16" t="inlineStr"/>
      <c r="F81" s="17" t="inlineStr">
        <is>
          <t>data/seed/test-questions.md — 23 questions across both scenarios</t>
        </is>
      </c>
    </row>
    <row r="82" ht="30" customHeight="1">
      <c r="A82" s="13" t="n">
        <v>81</v>
      </c>
      <c r="B82" s="14" t="inlineStr">
        <is>
          <t>8. Synthetic Demo Data</t>
        </is>
      </c>
      <c r="C82" s="15" t="inlineStr">
        <is>
          <t>Demo script</t>
        </is>
      </c>
      <c r="D82" s="13" t="inlineStr">
        <is>
          <t>Completed</t>
        </is>
      </c>
      <c r="E82" s="16" t="inlineStr"/>
      <c r="F82" s="17" t="inlineStr">
        <is>
          <t>docs/DEMO_SCRIPT.md — leads with the small-business scenario</t>
        </is>
      </c>
    </row>
    <row r="83" ht="30" customHeight="1">
      <c r="A83" s="13" t="n">
        <v>82</v>
      </c>
      <c r="B83" s="14" t="inlineStr">
        <is>
          <t>8. Synthetic Demo Data</t>
        </is>
      </c>
      <c r="C83" s="15" t="inlineStr">
        <is>
          <t>Indian-named seed borrowers with real logins (Priya Nair, Arjun Mehta)</t>
        </is>
      </c>
      <c r="D83" s="13" t="inlineStr">
        <is>
          <t>Completed</t>
        </is>
      </c>
      <c r="E83" s="16" t="inlineStr"/>
      <c r="F83" s="17" t="inlineStr">
        <is>
          <t>Priya Nair already existed as an application-only record (no login); Arjun Mehta replaces the former 'Marcus Webb' auto-loan record (safe — that name wasn't referenced in DEMO_SCRIPT.md or test-questions.md). Standing preference going forward: use Indian names for any new seed/test data added</t>
        </is>
      </c>
    </row>
    <row r="84" ht="30" customHeight="1">
      <c r="A84" s="13" t="n">
        <v>83</v>
      </c>
      <c r="B84" s="14" t="inlineStr">
        <is>
          <t>9. WhatsApp Integration</t>
        </is>
      </c>
      <c r="C84" s="15" t="inlineStr">
        <is>
          <t>Meta developer app + free sandbox test number</t>
        </is>
      </c>
      <c r="D84" s="13" t="inlineStr">
        <is>
          <t>Not Started</t>
        </is>
      </c>
      <c r="E84" s="16" t="inlineStr"/>
      <c r="F84" s="17" t="inlineStr">
        <is>
          <t>Self-serve, free, no leadership approval needed for the demo</t>
        </is>
      </c>
    </row>
    <row r="85" ht="30" customHeight="1">
      <c r="A85" s="13" t="n">
        <v>84</v>
      </c>
      <c r="B85" s="14" t="inlineStr">
        <is>
          <t>9. WhatsApp Integration</t>
        </is>
      </c>
      <c r="C85" s="15" t="inlineStr">
        <is>
          <t>Webhook endpoint to receive inbound WhatsApp messages</t>
        </is>
      </c>
      <c r="D85" s="13" t="inlineStr">
        <is>
          <t>Not Started</t>
        </is>
      </c>
      <c r="E85" s="16" t="inlineStr"/>
      <c r="F85" s="17" t="inlineStr"/>
    </row>
    <row r="86" ht="30" customHeight="1">
      <c r="A86" s="13" t="n">
        <v>85</v>
      </c>
      <c r="B86" s="14" t="inlineStr">
        <is>
          <t>9. WhatsApp Integration</t>
        </is>
      </c>
      <c r="C86" s="15" t="inlineStr">
        <is>
          <t>Route inbound messages into the existing RAG assistant</t>
        </is>
      </c>
      <c r="D86" s="13" t="inlineStr">
        <is>
          <t>Not Started</t>
        </is>
      </c>
      <c r="E86" s="16" t="inlineStr"/>
      <c r="F86" s="17" t="inlineStr">
        <is>
          <t>Can reuse services/rag.js — answerQuestion()</t>
        </is>
      </c>
    </row>
    <row r="87" ht="30" customHeight="1">
      <c r="A87" s="13" t="n">
        <v>86</v>
      </c>
      <c r="B87" s="14" t="inlineStr">
        <is>
          <t>9. WhatsApp Integration</t>
        </is>
      </c>
      <c r="C87" s="15" t="inlineStr">
        <is>
          <t>Outbound reply via WhatsApp Cloud API</t>
        </is>
      </c>
      <c r="D87" s="13" t="inlineStr">
        <is>
          <t>Not Started</t>
        </is>
      </c>
      <c r="E87" s="16" t="inlineStr"/>
      <c r="F87" s="17" t="inlineStr"/>
    </row>
    <row r="88" ht="30" customHeight="1">
      <c r="A88" s="13" t="n">
        <v>87</v>
      </c>
      <c r="B88" s="14" t="inlineStr">
        <is>
          <t>9. WhatsApp Integration</t>
        </is>
      </c>
      <c r="C88" s="15" t="inlineStr">
        <is>
          <t>Production Meta Business verification</t>
        </is>
      </c>
      <c r="D88" s="13" t="inlineStr">
        <is>
          <t>Not Started</t>
        </is>
      </c>
      <c r="E88" s="16" t="inlineStr"/>
      <c r="F88" s="17" t="inlineStr">
        <is>
          <t>Only needed post-demo, for a real bank pilot — not for the MVP</t>
        </is>
      </c>
    </row>
    <row r="89" ht="30" customHeight="1">
      <c r="A89" s="13" t="n">
        <v>88</v>
      </c>
      <c r="B89" s="14" t="inlineStr">
        <is>
          <t>10. Hosting &amp; Deployment</t>
        </is>
      </c>
      <c r="C89" s="15" t="inlineStr">
        <is>
          <t>Render Blueprint configuration</t>
        </is>
      </c>
      <c r="D89" s="13" t="inlineStr">
        <is>
          <t>Completed</t>
        </is>
      </c>
      <c r="E89" s="16" t="inlineStr"/>
      <c r="F89" s="17" t="inlineStr">
        <is>
          <t>render.yaml — backend web service + frontend static site</t>
        </is>
      </c>
    </row>
    <row r="90" ht="30" customHeight="1">
      <c r="A90" s="13" t="n">
        <v>89</v>
      </c>
      <c r="B90" s="14" t="inlineStr">
        <is>
          <t>10. Hosting &amp; Deployment</t>
        </is>
      </c>
      <c r="C90" s="15" t="inlineStr">
        <is>
          <t>Backend deployed &amp; health-checked on Render</t>
        </is>
      </c>
      <c r="D90" s="13" t="inlineStr">
        <is>
          <t>In Progress</t>
        </is>
      </c>
      <c r="E90" s="16" t="inlineStr"/>
      <c r="F90" s="17" t="inlineStr">
        <is>
          <t>Confirm live and reachable before demo day (/health)</t>
        </is>
      </c>
    </row>
    <row r="91" ht="30" customHeight="1">
      <c r="A91" s="13" t="n">
        <v>90</v>
      </c>
      <c r="B91" s="14" t="inlineStr">
        <is>
          <t>10. Hosting &amp; Deployment</t>
        </is>
      </c>
      <c r="C91" s="15" t="inlineStr">
        <is>
          <t>Frontend deployed as Render static site</t>
        </is>
      </c>
      <c r="D91" s="13" t="inlineStr">
        <is>
          <t>In Progress</t>
        </is>
      </c>
      <c r="E91" s="16" t="inlineStr"/>
      <c r="F91" s="17" t="inlineStr">
        <is>
          <t>Confirm Expo web export + rewrite rule are working</t>
        </is>
      </c>
    </row>
    <row r="92" ht="30" customHeight="1">
      <c r="A92" s="13" t="n">
        <v>91</v>
      </c>
      <c r="B92" s="14" t="inlineStr">
        <is>
          <t>10. Hosting &amp; Deployment</t>
        </is>
      </c>
      <c r="C92" s="15" t="inlineStr">
        <is>
          <t>MongoDB Atlas cluster provisioned (M0 free tier)</t>
        </is>
      </c>
      <c r="D92" s="13" t="inlineStr">
        <is>
          <t>In Progress</t>
        </is>
      </c>
      <c r="E92" s="16" t="inlineStr"/>
      <c r="F92" s="17" t="inlineStr">
        <is>
          <t>Confirm connection string + Network Access 0.0.0.0/0 are set</t>
        </is>
      </c>
    </row>
    <row r="93" ht="30" customHeight="1">
      <c r="A93" s="13" t="n">
        <v>92</v>
      </c>
      <c r="B93" s="14" t="inlineStr">
        <is>
          <t>10. Hosting &amp; Deployment</t>
        </is>
      </c>
      <c r="C93" s="15" t="inlineStr">
        <is>
          <t>One-shot /admin/reset endpoint for pre-demo data reset</t>
        </is>
      </c>
      <c r="D93" s="13" t="inlineStr">
        <is>
          <t>Completed</t>
        </is>
      </c>
      <c r="E93" s="16" t="inlineStr"/>
      <c r="F93" s="17" t="inlineStr">
        <is>
          <t>routes/admin.js — seeds + re-indexes policies in one call</t>
        </is>
      </c>
    </row>
    <row r="94" ht="30" customHeight="1">
      <c r="A94" s="13" t="n">
        <v>93</v>
      </c>
      <c r="B94" s="14" t="inlineStr">
        <is>
          <t>11. Testing &amp; QA</t>
        </is>
      </c>
      <c r="C94" s="15" t="inlineStr">
        <is>
          <t>Manual acceptance test question bank</t>
        </is>
      </c>
      <c r="D94" s="13" t="inlineStr">
        <is>
          <t>Completed</t>
        </is>
      </c>
      <c r="E94" s="16" t="inlineStr"/>
      <c r="F94" s="17" t="inlineStr">
        <is>
          <t>23 questions across consumer + small-business scenarios</t>
        </is>
      </c>
    </row>
    <row r="95" ht="30" customHeight="1">
      <c r="A95" s="13" t="n">
        <v>94</v>
      </c>
      <c r="B95" s="14" t="inlineStr">
        <is>
          <t>11. Testing &amp; QA</t>
        </is>
      </c>
      <c r="C95" s="15" t="inlineStr">
        <is>
          <t>Automated unit/integration tests</t>
        </is>
      </c>
      <c r="D95" s="13" t="inlineStr">
        <is>
          <t>In Progress</t>
        </is>
      </c>
      <c r="E95" s="16" t="inlineStr"/>
      <c r="F95" s="17" t="inlineStr">
        <is>
          <t>Backend suite: 61 tests (verification, statement analysis, RAG grounding, decision rules, borrower-view privacy); 60 pass, 1 pre-existing failure (test/rag/serviceClients.test.js imports a missing export). No frontend or route-level tests yet.</t>
        </is>
      </c>
    </row>
    <row r="96" ht="30" customHeight="1">
      <c r="A96" s="13" t="n">
        <v>95</v>
      </c>
      <c r="B96" s="14" t="inlineStr">
        <is>
          <t>11. Testing &amp; QA</t>
        </is>
      </c>
      <c r="C96" s="15" t="inlineStr">
        <is>
          <t>End-to-end demo rehearsal (full run-through, timed)</t>
        </is>
      </c>
      <c r="D96" s="13" t="inlineStr">
        <is>
          <t>Not Started</t>
        </is>
      </c>
      <c r="E96" s="16" t="inlineStr"/>
      <c r="F96" s="17" t="inlineStr">
        <is>
          <t>Schedule before presentation day</t>
        </is>
      </c>
    </row>
    <row r="97" ht="30" customHeight="1">
      <c r="A97" s="13" t="n">
        <v>96</v>
      </c>
      <c r="B97" s="14" t="inlineStr">
        <is>
          <t>11. Testing &amp; QA</t>
        </is>
      </c>
      <c r="C97" s="15" t="inlineStr">
        <is>
          <t>Cross-browser / device check (Expo web export)</t>
        </is>
      </c>
      <c r="D97" s="13" t="inlineStr">
        <is>
          <t>Not Started</t>
        </is>
      </c>
      <c r="E97" s="16" t="inlineStr"/>
      <c r="F97" s="17" t="inlineStr"/>
    </row>
    <row r="98" ht="30" customHeight="1">
      <c r="A98" s="13" t="n">
        <v>97</v>
      </c>
      <c r="B98" s="14" t="inlineStr">
        <is>
          <t>12. Documentation</t>
        </is>
      </c>
      <c r="C98" s="15" t="inlineStr">
        <is>
          <t>README (quick start, architecture, deploy steps)</t>
        </is>
      </c>
      <c r="D98" s="13" t="inlineStr">
        <is>
          <t>Completed</t>
        </is>
      </c>
      <c r="E98" s="16" t="inlineStr"/>
      <c r="F98" s="17" t="inlineStr"/>
    </row>
    <row r="99" ht="30" customHeight="1">
      <c r="A99" s="13" t="n">
        <v>98</v>
      </c>
      <c r="B99" s="14" t="inlineStr">
        <is>
          <t>12. Documentation</t>
        </is>
      </c>
      <c r="C99" s="15" t="inlineStr">
        <is>
          <t>ROADMAP.md (phased build plan)</t>
        </is>
      </c>
      <c r="D99" s="13" t="inlineStr">
        <is>
          <t>Completed</t>
        </is>
      </c>
      <c r="E99" s="16" t="inlineStr"/>
      <c r="F99" s="17" t="inlineStr"/>
    </row>
    <row r="100" ht="30" customHeight="1">
      <c r="A100" s="13" t="n">
        <v>99</v>
      </c>
      <c r="B100" s="14" t="inlineStr">
        <is>
          <t>12. Documentation</t>
        </is>
      </c>
      <c r="C100" s="15" t="inlineStr">
        <is>
          <t>DEMO_SCRIPT.md (3-minute walkthrough)</t>
        </is>
      </c>
      <c r="D100" s="13" t="inlineStr">
        <is>
          <t>Completed</t>
        </is>
      </c>
      <c r="E100" s="16" t="inlineStr"/>
      <c r="F100" s="17" t="inlineStr"/>
    </row>
    <row r="101" ht="30" customHeight="1">
      <c r="A101" s="13" t="n">
        <v>100</v>
      </c>
      <c r="B101" s="14" t="inlineStr">
        <is>
          <t>12. Documentation</t>
        </is>
      </c>
      <c r="C101" s="15" t="inlineStr">
        <is>
          <t>Development task tracker (this file)</t>
        </is>
      </c>
      <c r="D101" s="13" t="inlineStr">
        <is>
          <t>Completed</t>
        </is>
      </c>
      <c r="E101" s="16" t="inlineStr"/>
      <c r="F101" s="17" t="inlineStr">
        <is>
          <t>Prepared 2026-09-11, moved to Excel — update statuses as work progresses</t>
        </is>
      </c>
    </row>
    <row r="102" ht="30" customHeight="1">
      <c r="A102" s="13" t="n">
        <v>101</v>
      </c>
      <c r="B102" s="14" t="inlineStr">
        <is>
          <t>13. Real-Time Document Validation &amp; Self-Service Re-Request (DocuSense)</t>
        </is>
      </c>
      <c r="C102" s="15" t="inlineStr">
        <is>
          <t>Unified 'Action needed' list — every open issue (missing or flagged) in one place</t>
        </is>
      </c>
      <c r="D102" s="13" t="inlineStr">
        <is>
          <t>Completed</t>
        </is>
      </c>
      <c r="E102" s="16" t="inlineStr"/>
      <c r="F102" s="17" t="inlineStr">
        <is>
          <t>New openExceptions() in verification.js; returned by GET /applications/:id; rendered as a card at the top of the Documents tab</t>
        </is>
      </c>
    </row>
    <row r="103" ht="30" customHeight="1">
      <c r="A103" s="13" t="n">
        <v>102</v>
      </c>
      <c r="B103" s="14" t="inlineStr">
        <is>
          <t>13. Real-Time Document Validation &amp; Self-Service Re-Request (DocuSense)</t>
        </is>
      </c>
      <c r="C103" s="15" t="inlineStr">
        <is>
          <t>Targeted self-service re-upload — fix exactly one flagged/missing item, no restart</t>
        </is>
      </c>
      <c r="D103" s="13" t="inlineStr">
        <is>
          <t>Completed</t>
        </is>
      </c>
      <c r="E103" s="16" t="inlineStr"/>
      <c r="F103" s="17" t="inlineStr">
        <is>
          <t>expectedDocType passed on upload; this is the in-app equivalent of the 'SMS/magic-link' concept — same outcome, no external channel needed since it's already inside the app</t>
        </is>
      </c>
    </row>
    <row r="104" ht="30" customHeight="1">
      <c r="A104" s="13" t="n">
        <v>103</v>
      </c>
      <c r="B104" s="14" t="inlineStr">
        <is>
          <t>13. Real-Time Document Validation &amp; Self-Service Re-Request (DocuSense)</t>
        </is>
      </c>
      <c r="C104" s="15" t="inlineStr">
        <is>
          <t>Wrong-file-type caught immediately during a targeted re-upload</t>
        </is>
      </c>
      <c r="D104" s="13" t="inlineStr">
        <is>
          <t>Completed</t>
        </is>
      </c>
      <c r="E104" s="16" t="inlineStr"/>
      <c r="F104" s="17" t="inlineStr">
        <is>
          <t>New 'Document type' check in verifyDocument() when expectedDocType doesn't match the classified docType</t>
        </is>
      </c>
    </row>
    <row r="105" ht="30" customHeight="1">
      <c r="A105" s="13" t="n">
        <v>104</v>
      </c>
      <c r="B105" s="14" t="inlineStr">
        <is>
          <t>13. Real-Time Document Validation &amp; Self-Service Re-Request (DocuSense)</t>
        </is>
      </c>
      <c r="C105" s="15" t="inlineStr">
        <is>
          <t>Document supersede/audit-trail model (current vs. superseded)</t>
        </is>
      </c>
      <c r="D105" s="13" t="inlineStr">
        <is>
          <t>Completed</t>
        </is>
      </c>
      <c r="E105" s="16" t="inlineStr"/>
      <c r="F105" s="17" t="inlineStr">
        <is>
          <t>Document.status field; fixing an item replaces it instead of leaving a duplicate; superseded docs kept for audit, hidden by default behind 'Show document history'</t>
        </is>
      </c>
    </row>
    <row r="106" ht="30" customHeight="1">
      <c r="A106" s="13" t="n">
        <v>105</v>
      </c>
      <c r="B106" s="14" t="inlineStr">
        <is>
          <t>13. Real-Time Document Validation &amp; Self-Service Re-Request (DocuSense)</t>
        </is>
      </c>
      <c r="C106" s="15" t="inlineStr">
        <is>
          <t>Application status self-heals (Needs Review -&gt; Submitted) once every exception clears</t>
        </is>
      </c>
      <c r="D106" s="13" t="inlineStr">
        <is>
          <t>Completed</t>
        </is>
      </c>
      <c r="E106" s="16" t="inlineStr"/>
      <c r="F106" s="17" t="inlineStr">
        <is>
          <t>routes/documents.js — no manual officer action required to un-flag a resolved application</t>
        </is>
      </c>
    </row>
    <row r="107" ht="30" customHeight="1">
      <c r="A107" s="13" t="n">
        <v>106</v>
      </c>
      <c r="B107" s="14" t="inlineStr">
        <is>
          <t>13. Real-Time Document Validation &amp; Self-Service Re-Request (DocuSense)</t>
        </is>
      </c>
      <c r="C107" s="15" t="inlineStr">
        <is>
          <t>Borrower upload endpoint scoped to their own application (auth fix)</t>
        </is>
      </c>
      <c r="D107" s="13" t="inlineStr">
        <is>
          <t>Completed</t>
        </is>
      </c>
      <c r="E107" s="16" t="inlineStr"/>
      <c r="F107" s="17" t="inlineStr">
        <is>
          <t>POST /documents/:applicationId had no ownership check before today — any authenticated borrower could upload to any applicationId. Now matches the same check already used on GET /applications/:id</t>
        </is>
      </c>
    </row>
    <row r="108" ht="30" customHeight="1">
      <c r="A108" s="13" t="n">
        <v>107</v>
      </c>
      <c r="B108" s="14" t="inlineStr">
        <is>
          <t>13. Real-Time Document Validation &amp; Self-Service Re-Request (DocuSense)</t>
        </is>
      </c>
      <c r="C108" s="15" t="inlineStr">
        <is>
          <t>RAG assistant reflects only current, unresolved exceptions</t>
        </is>
      </c>
      <c r="D108" s="13" t="inlineStr">
        <is>
          <t>Completed</t>
        </is>
      </c>
      <c r="E108" s="16" t="inlineStr"/>
      <c r="F108" s="17" t="inlineStr">
        <is>
          <t>rag.js's applicationStateSummary was reading ALL documents including superseded ones — a resolved issue could be re-surfaced in an answer as if still open. Fixed to use only current documents + the same openExceptions list the UI shows</t>
        </is>
      </c>
    </row>
    <row r="109" ht="30" customHeight="1">
      <c r="A109" s="13" t="n">
        <v>108</v>
      </c>
      <c r="B109" s="14" t="inlineStr">
        <is>
          <t>13. Real-Time Document Validation &amp; Self-Service Re-Request (DocuSense)</t>
        </is>
      </c>
      <c r="C109" s="15" t="inlineStr">
        <is>
          <t>In-browser instant document classification &amp; quality check at upload</t>
        </is>
      </c>
      <c r="D109" s="13" t="inlineStr">
        <is>
          <t>Not Started</t>
        </is>
      </c>
      <c r="E109" s="16" t="inlineStr"/>
      <c r="F109" s="17" t="inlineStr">
        <is>
          <t>Client-side pre-submission check, before the file is even sent — different from the (built) post-upload flagging</t>
        </is>
      </c>
    </row>
    <row r="110" ht="30" customHeight="1">
      <c r="A110" s="13" t="n">
        <v>109</v>
      </c>
      <c r="B110" s="14" t="inlineStr">
        <is>
          <t>13. Real-Time Document Validation &amp; Self-Service Re-Request (DocuSense)</t>
        </is>
      </c>
      <c r="C110" s="15" t="inlineStr">
        <is>
          <t>Pre-submission completeness check (required schedules/pages present)</t>
        </is>
      </c>
      <c r="D110" s="13" t="inlineStr">
        <is>
          <t>Not Started</t>
        </is>
      </c>
      <c r="E110" s="16" t="inlineStr"/>
      <c r="F110" s="17" t="inlineStr">
        <is>
          <t>Per document type</t>
        </is>
      </c>
    </row>
    <row r="111" ht="30" customHeight="1">
      <c r="A111" s="13" t="n">
        <v>110</v>
      </c>
      <c r="B111" s="14" t="inlineStr">
        <is>
          <t>13. Real-Time Document Validation &amp; Self-Service Re-Request (DocuSense)</t>
        </is>
      </c>
      <c r="C111" s="15" t="inlineStr">
        <is>
          <t>Blur / glare / legibility detection before accepting an upload</t>
        </is>
      </c>
      <c r="D111" s="13" t="inlineStr">
        <is>
          <t>Not Started</t>
        </is>
      </c>
      <c r="E111" s="16" t="inlineStr"/>
      <c r="F111" s="17" t="inlineStr">
        <is>
          <t>Complements existing confidence-score routing in verification.js</t>
        </is>
      </c>
    </row>
    <row r="112" ht="30" customHeight="1">
      <c r="A112" s="13" t="n">
        <v>111</v>
      </c>
      <c r="B112" s="14" t="inlineStr">
        <is>
          <t>13. Real-Time Document Validation &amp; Self-Service Re-Request (DocuSense)</t>
        </is>
      </c>
      <c r="C112" s="15" t="inlineStr">
        <is>
          <t>Auto pre-fill of underwriting review fields from extracted data</t>
        </is>
      </c>
      <c r="D112" s="13" t="inlineStr">
        <is>
          <t>Not Started</t>
        </is>
      </c>
      <c r="E112" s="16" t="inlineStr"/>
      <c r="F112" s="17" t="inlineStr">
        <is>
          <t>Extraction already produces the data; pre-filling a review form UI is net-new</t>
        </is>
      </c>
    </row>
    <row r="113" ht="30" customHeight="1">
      <c r="A113" s="13" t="n">
        <v>112</v>
      </c>
      <c r="B113" s="14" t="inlineStr">
        <is>
          <t>14. Multi-Party &amp; Milestone Tracking (Lending Co-Pilot)</t>
        </is>
      </c>
      <c r="C113" s="15" t="inlineStr">
        <is>
          <t>Step-by-step milestone tracker UI (Intake -&gt; Doc Verification -&gt; Underwriting -&gt; Closing -&gt; Disbursement)</t>
        </is>
      </c>
      <c r="D113" s="13" t="inlineStr">
        <is>
          <t>In Progress</t>
        </is>
      </c>
      <c r="E113" s="16" t="inlineStr"/>
      <c r="F113" s="17" t="inlineStr">
        <is>
          <t>New status model, beyond the current submitted/needs-review/approved/rejected enum [2026-10-22] A Progress page now shows a derived 6-step timeline (submitted &gt; documents &gt; verification &gt; issues &gt; officer review &gt; decision) with a "You are here" marker. Still missing: a persisted milestone status model and the closing / disbursement stages.</t>
        </is>
      </c>
    </row>
    <row r="114" ht="30" customHeight="1">
      <c r="A114" s="13" t="n">
        <v>113</v>
      </c>
      <c r="B114" s="14" t="inlineStr">
        <is>
          <t>14. Multi-Party &amp; Milestone Tracking (Lending Co-Pilot)</t>
        </is>
      </c>
      <c r="C114" s="15" t="inlineStr">
        <is>
          <t>Multi-party checklist — per-owner/signer verification status for business loans</t>
        </is>
      </c>
      <c r="D114" s="13" t="inlineStr">
        <is>
          <t>Not Started</t>
        </is>
      </c>
      <c r="E114" s="16" t="inlineStr"/>
      <c r="F114" s="17" t="inlineStr">
        <is>
          <t>Builds on the ownership-disclosure doc type; needs a per-owner sub-record, not just one applicant</t>
        </is>
      </c>
    </row>
    <row r="115" ht="30" customHeight="1">
      <c r="A115" s="13" t="n">
        <v>114</v>
      </c>
      <c r="B115" s="14" t="inlineStr">
        <is>
          <t>14. Multi-Party &amp; Milestone Tracking (Lending Co-Pilot)</t>
        </is>
      </c>
      <c r="C115" s="15" t="inlineStr">
        <is>
          <t>Shared visibility for all parties on one application</t>
        </is>
      </c>
      <c r="D115" s="13" t="inlineStr">
        <is>
          <t>Not Started</t>
        </is>
      </c>
      <c r="E115" s="16" t="inlineStr"/>
      <c r="F115"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16" ht="30" customHeight="1">
      <c r="A116" s="13" t="n">
        <v>115</v>
      </c>
      <c r="B116" s="14" t="inlineStr">
        <is>
          <t>14. Multi-Party &amp; Milestone Tracking (Lending Co-Pilot)</t>
        </is>
      </c>
      <c r="C116" s="15" t="inlineStr">
        <is>
          <t>Core-readiness / entity-name pre-validator earlier in the flow</t>
        </is>
      </c>
      <c r="D116" s="13" t="inlineStr">
        <is>
          <t>Not Started</t>
        </is>
      </c>
      <c r="E116" s="16" t="inlineStr"/>
      <c r="F116" s="17" t="inlineStr">
        <is>
          <t>Extends the Section 5 business-name check to run at intake, before final closing</t>
        </is>
      </c>
    </row>
    <row r="117" ht="30" customHeight="1">
      <c r="A117" s="13" t="n">
        <v>116</v>
      </c>
      <c r="B117" s="14" t="inlineStr">
        <is>
          <t>15. Predictive Servicing (EarlyCare) — Post-MVP</t>
        </is>
      </c>
      <c r="C117" s="15" t="inlineStr">
        <is>
          <t>Cash-flow dip / pre-delinquency risk detection from transaction history</t>
        </is>
      </c>
      <c r="D117" s="13" t="inlineStr">
        <is>
          <t>Not Started</t>
        </is>
      </c>
      <c r="E117" s="16" t="inlineStr"/>
      <c r="F117" s="17" t="inlineStr">
        <is>
          <t>Different lifecycle stage (servicing, not origination) — needs a transaction-history data model not in the current schema. Recommend as roadmap/vision talking point, not a 4-week build target</t>
        </is>
      </c>
    </row>
    <row r="118" ht="30" customHeight="1">
      <c r="A118" s="13" t="n">
        <v>117</v>
      </c>
      <c r="B118" s="14" t="inlineStr">
        <is>
          <t>15. Predictive Servicing (EarlyCare) — Post-MVP</t>
        </is>
      </c>
      <c r="C118" s="15" t="inlineStr">
        <is>
          <t>Self-service grace period / split-payment offers</t>
        </is>
      </c>
      <c r="D118" s="13" t="inlineStr">
        <is>
          <t>Not Started</t>
        </is>
      </c>
      <c r="E118" s="16" t="inlineStr"/>
      <c r="F118" s="17" t="inlineStr">
        <is>
          <t>Same caveat as above — deprioritize for the MVP</t>
        </is>
      </c>
    </row>
    <row r="119">
      <c r="A119" t="n">
        <v>118</v>
      </c>
      <c r="B119" t="inlineStr">
        <is>
          <t>5. Cross-Verification Engine</t>
        </is>
      </c>
      <c r="C119" t="inlineStr">
        <is>
          <t>Cross-document check: bank statement deposit vs. pay stub net pay (amount + employer-name match)</t>
        </is>
      </c>
      <c r="D119" t="inlineStr">
        <is>
          <t>Completed</t>
        </is>
      </c>
      <c r="F119" t="inlineStr">
        <is>
          <t>backend/src/services/verification.js — crossDocumentChecks()/withCrossDocumentChecks(); catches an inflated pay stub not backed by a real deposit</t>
        </is>
      </c>
    </row>
    <row r="120">
      <c r="A120" t="n">
        <v>119</v>
      </c>
      <c r="B120" t="inlineStr">
        <is>
          <t>5. Cross-Verification Engine</t>
        </is>
      </c>
      <c r="C120" t="inlineStr">
        <is>
          <t>Statutory payroll-math check: Social Security (6.2%) &amp; Medicare (1.45%) withholding vs. gross pay</t>
        </is>
      </c>
      <c r="D120" t="inlineStr">
        <is>
          <t>Completed</t>
        </is>
      </c>
      <c r="F120" t="inlineStr">
        <is>
          <t>backend/src/services/verification.js; flat federal rates, not income-tax brackets (deliberately not modeled — see Section 16 note)</t>
        </is>
      </c>
    </row>
    <row r="121">
      <c r="A121" t="n">
        <v>120</v>
      </c>
      <c r="B121" t="inlineStr">
        <is>
          <t>5. Cross-Verification Engine</t>
        </is>
      </c>
      <c r="C121" t="inlineStr">
        <is>
          <t>Year-to-date gross consistency check (YTD gross ÷ pay period # vs. current period gross)</t>
        </is>
      </c>
      <c r="D121" t="inlineStr">
        <is>
          <t>Completed</t>
        </is>
      </c>
      <c r="F121" t="inlineStr">
        <is>
          <t>backend/src/services/verification.js; pay stub images regenerated to show YTD gross + period #</t>
        </is>
      </c>
    </row>
    <row r="122">
      <c r="A122" t="n">
        <v>121</v>
      </c>
      <c r="B122" t="inlineStr">
        <is>
          <t>5. Cross-Verification Engine</t>
        </is>
      </c>
      <c r="C122" t="inlineStr">
        <is>
          <t>Ownership percentage sanity bound (0-100%)</t>
        </is>
      </c>
      <c r="D122" t="inlineStr">
        <is>
          <t>Completed</t>
        </is>
      </c>
      <c r="F122" t="inlineStr">
        <is>
          <t>backend/src/services/verification.js; single-doc-per-application model limits this to a bounds check, not a multi-owner sum-to-100% check</t>
        </is>
      </c>
    </row>
    <row r="123">
      <c r="A123" t="n">
        <v>122</v>
      </c>
      <c r="B123" t="inlineStr">
        <is>
          <t>5. Cross-Verification Engine</t>
        </is>
      </c>
      <c r="C123" t="inlineStr">
        <is>
          <t>Personal financial statement vs. bank statement cash-on-hand cross-check</t>
        </is>
      </c>
      <c r="D123" t="inlineStr">
        <is>
          <t>Not Started</t>
        </is>
      </c>
      <c r="F123" t="inlineStr">
        <is>
          <t>Same buildable pattern as the completed pay-stub/bank-statement check above — no vendor needed, just not yet prioritized</t>
        </is>
      </c>
    </row>
    <row r="124">
      <c r="A124" t="n">
        <v>123</v>
      </c>
      <c r="B124" t="inlineStr">
        <is>
          <t>16. Document Authenticity — Digital Forensics &amp; Direct-Source Verification</t>
        </is>
      </c>
      <c r="C124" t="inlineStr">
        <is>
          <t>PDF metadata / edit-history forensics</t>
        </is>
      </c>
      <c r="D124" t="inlineStr">
        <is>
          <t>Not Started</t>
        </is>
      </c>
      <c r="F124" t="inlineStr">
        <is>
          <t>No vendor cost, but our demo docs are images (no metadata to inspect); even on real PDFs this is easily defeated by re-export/screenshot — low reliability even in production</t>
        </is>
      </c>
    </row>
    <row r="125">
      <c r="A125" t="n">
        <v>124</v>
      </c>
      <c r="B125" t="inlineStr">
        <is>
          <t>16. Document Authenticity — Digital Forensics &amp; Direct-Source Verification</t>
        </is>
      </c>
      <c r="C125" t="inlineStr">
        <is>
          <t>Font/glyph and template-mismatch detection</t>
        </is>
      </c>
      <c r="D125" t="inlineStr">
        <is>
          <t>Not Started</t>
        </is>
      </c>
      <c r="F125" t="inlineStr">
        <is>
          <t>Needs a reference library of genuine payroll-provider templates (ADP/Gusto/Paychex) — a real computer-vision project, out of hackathon scope</t>
        </is>
      </c>
    </row>
    <row r="126">
      <c r="A126" t="n">
        <v>125</v>
      </c>
      <c r="B126" t="inlineStr">
        <is>
          <t>16. Document Authenticity — Digital Forensics &amp; Direct-Source Verification</t>
        </is>
      </c>
      <c r="C126" t="inlineStr">
        <is>
          <t>Error Level Analysis (ELA) for spliced/edited images</t>
        </is>
      </c>
      <c r="D126" t="inlineStr">
        <is>
          <t>Not Started</t>
        </is>
      </c>
      <c r="F126" t="inlineStr">
        <is>
          <t>Free to build (no vendor), but only detects JPEG recompression artifacts — has no effect on our PNG uploads; revisit if real photographed/scanned uploads are supported</t>
        </is>
      </c>
    </row>
    <row r="127">
      <c r="A127" t="n">
        <v>126</v>
      </c>
      <c r="B127" t="inlineStr">
        <is>
          <t>16. Document Authenticity — Digital Forensics &amp; Direct-Source Verification</t>
        </is>
      </c>
      <c r="C127" t="inlineStr">
        <is>
          <t>Identity verification (IDV) for driver's license / government ID</t>
        </is>
      </c>
      <c r="D127" t="inlineStr">
        <is>
          <t>In Progress</t>
        </is>
      </c>
      <c r="F127" t="inlineStr">
        <is>
          <t>NEEDS REAL-TIME API KEY + FUNDING — vendor options: Persona, Onfido, Jumio, ID.me (liveness + barcode/MRZ check) [2026-10-24] Document-based part built: the licence is now checked for expiry, date of birth and address against the application (real checks on the upload). The vendor ID / selfie / liveness check is still not built.</t>
        </is>
      </c>
    </row>
    <row r="128">
      <c r="A128" t="n">
        <v>127</v>
      </c>
      <c r="B128" t="inlineStr">
        <is>
          <t>16. Document Authenticity — Digital Forensics &amp; Direct-Source Verification</t>
        </is>
      </c>
      <c r="C128" t="inlineStr">
        <is>
          <t>IRS tax transcript verification (Form 4506-C / IVES) for business tax returns</t>
        </is>
      </c>
      <c r="D128" t="inlineStr">
        <is>
          <t>Not Started</t>
        </is>
      </c>
      <c r="F128" t="inlineStr">
        <is>
          <t>NEEDS FUNDING — requires becoming an approved IVES participant; not obtainable via a simple developer API key sign-up</t>
        </is>
      </c>
    </row>
    <row r="129">
      <c r="A129" t="n">
        <v>128</v>
      </c>
      <c r="B129" t="inlineStr">
        <is>
          <t>16. Document Authenticity — Digital Forensics &amp; Direct-Source Verification</t>
        </is>
      </c>
      <c r="C129" t="inlineStr">
        <is>
          <t>Business registry / EIN verification (Secretary of State lookup)</t>
        </is>
      </c>
      <c r="D129" t="inlineStr">
        <is>
          <t>Not Started</t>
        </is>
      </c>
      <c r="F129" t="inlineStr">
        <is>
          <t>NEEDS REAL-TIME API KEY + FUNDING — vendor option: Middesk (most state registries have no free structured API)</t>
        </is>
      </c>
    </row>
    <row r="130">
      <c r="A130" t="n">
        <v>129</v>
      </c>
      <c r="B130" t="inlineStr">
        <is>
          <t>16. Document Authenticity — Digital Forensics &amp; Direct-Source Verification</t>
        </is>
      </c>
      <c r="C130" t="inlineStr">
        <is>
          <t>Direct-from-source payroll verification (bypass documents entirely)</t>
        </is>
      </c>
      <c r="D130" t="inlineStr">
        <is>
          <t>Not Started</t>
        </is>
      </c>
      <c r="F130" t="inlineStr">
        <is>
          <t>NEEDS REAL-TIME API KEY + FUNDING — vendor options: Argyle, Pinwheel, Plaid Income; this is the actual production-grade fix — uploaded documents become an optional fallback, not the source of truth</t>
        </is>
      </c>
    </row>
    <row r="131">
      <c r="A131" t="n">
        <v>130</v>
      </c>
      <c r="B131" t="inlineStr">
        <is>
          <t>17. Identity, Address &amp; Credit Verification (KYC / Underwriting)</t>
        </is>
      </c>
      <c r="C131" t="inlineStr">
        <is>
          <t>OFAC sanctions / PEP screening for beneficial owners</t>
        </is>
      </c>
      <c r="D131" t="inlineStr">
        <is>
          <t>Not Started</t>
        </is>
      </c>
      <c r="F131" t="inlineStr">
        <is>
          <t>FREE — U.S. Treasury OFAC SDN list is a public, free, downloadable dataset; no paid vendor required to build a basic screen [2026-10-24] A SIMULATED sanctions screen exists (scripted test records); the real OFAC list is not loaded.</t>
        </is>
      </c>
    </row>
    <row r="132">
      <c r="A132" t="n">
        <v>131</v>
      </c>
      <c r="B132" t="inlineStr">
        <is>
          <t>17. Identity, Address &amp; Credit Verification (KYC / Underwriting)</t>
        </is>
      </c>
      <c r="C132" t="inlineStr">
        <is>
          <t>Address verification (standardization + deliverability)</t>
        </is>
      </c>
      <c r="D132" t="inlineStr">
        <is>
          <t>Not Started</t>
        </is>
      </c>
      <c r="F132" t="inlineStr">
        <is>
          <t>FREE TIER AVAILABLE — USPS Web Tools API has a no-cost tier suitable for this use case [2026-10-24] Document-level address check built (licence address vs application). USPS deliverability is still not built.</t>
        </is>
      </c>
    </row>
    <row r="133">
      <c r="A133" t="n">
        <v>132</v>
      </c>
      <c r="B133" t="inlineStr">
        <is>
          <t>17. Identity, Address &amp; Credit Verification (KYC / Underwriting)</t>
        </is>
      </c>
      <c r="C133" t="inlineStr">
        <is>
          <t>Credit bureau pull / existing-loan (trade line) check</t>
        </is>
      </c>
      <c r="D133" t="inlineStr">
        <is>
          <t>Not Started</t>
        </is>
      </c>
      <c r="F133" t="inlineStr">
        <is>
          <t>NEEDS FUNDING — real bureau access (Equifax/Experian/TransUnion) requires a licensed FCRA "permissible purpose" relationship, not just an API key; soft-pull aggregators (Array, Bloom Credit, MeridianLink) are the realistic funded path [2026-10-22] Interim: staff enter the credit score by hand on the Decision page (Section 18). [2026-10-24] A SIMULATED credit pull (scripted test records) is built and feeds the decision workflow. A real bureau still needs a contract, consent flow and FCRA permissible purpose.</t>
        </is>
      </c>
    </row>
    <row r="134">
      <c r="A134" t="n">
        <v>133</v>
      </c>
      <c r="B134" t="inlineStr">
        <is>
          <t>7. Frontend — Screens &amp; Navigation</t>
        </is>
      </c>
      <c r="C134" t="inlineStr">
        <is>
          <t>Verification checklist on the Documents tab — every check (matches and flags) per document, plus an application-wide summary</t>
        </is>
      </c>
      <c r="D134" t="inlineStr">
        <is>
          <t>Completed</t>
        </is>
      </c>
      <c r="F134" t="inlineStr">
        <is>
          <t>components/VerificationSummary.js. Answers the jury question "what parameters are checked": expected value next to value found, cross-document checks tagged.</t>
        </is>
      </c>
    </row>
    <row r="135">
      <c r="A135" t="n">
        <v>134</v>
      </c>
      <c r="B135" t="inlineStr">
        <is>
          <t>7. Frontend — Screens &amp; Navigation</t>
        </is>
      </c>
      <c r="C135" t="inlineStr">
        <is>
          <t>One readable URL per application page: /applications/:id/{progress,documents,verification,action-needed,assistant,decision}</t>
        </is>
      </c>
      <c r="D135" t="inlineStr">
        <is>
          <t>Completed</t>
        </is>
      </c>
      <c r="F135" t="inlineStr">
        <is>
          <t>App.js linking config; browser tab title names the page. AuthContext now waits for the saved session so a reload keeps the deep link.</t>
        </is>
      </c>
    </row>
    <row r="136">
      <c r="A136" t="n">
        <v>135</v>
      </c>
      <c r="B136" t="inlineStr">
        <is>
          <t>7. Frontend — Screens &amp; Navigation</t>
        </is>
      </c>
      <c r="C136" t="inlineStr">
        <is>
          <t>Progress page — % complete, "You are here" timeline, next step</t>
        </is>
      </c>
      <c r="D136" t="inlineStr">
        <is>
          <t>Completed</t>
        </is>
      </c>
      <c r="F136" t="inlineStr">
        <is>
          <t>ProgressTab.js, utils/progress.js. Derived from documents, verification and status; no new backend state.</t>
        </is>
      </c>
    </row>
    <row r="137">
      <c r="A137" t="n">
        <v>136</v>
      </c>
      <c r="B137" t="inlineStr">
        <is>
          <t>7. Frontend — Screens &amp; Navigation</t>
        </is>
      </c>
      <c r="C137" t="inlineStr">
        <is>
          <t>Action Needed page — open items with one-tap upload / re-upload</t>
        </is>
      </c>
      <c r="D137" t="inlineStr">
        <is>
          <t>Completed</t>
        </is>
      </c>
      <c r="F137" t="inlineStr">
        <is>
          <t>ActionNeededTab.js; tab shows the open count. Upload logic extracted to utils/uploadDocument.js.</t>
        </is>
      </c>
    </row>
    <row r="138">
      <c r="A138" t="n">
        <v>137</v>
      </c>
      <c r="B138" t="inlineStr">
        <is>
          <t>7. Frontend — Screens &amp; Navigation</t>
        </is>
      </c>
      <c r="C138" t="inlineStr">
        <is>
          <t>Assistant as a full page, sidebar "Ask LoanLens" entry and per-application sidebar sub-navigation</t>
        </is>
      </c>
      <c r="D138" t="inlineStr">
        <is>
          <t>Completed</t>
        </is>
      </c>
      <c r="F138" t="inlineStr">
        <is>
          <t>The floating launcher is hidden on the Assistant page (it covered Send). chatBus.js lets the sidebar open the chat.</t>
        </is>
      </c>
    </row>
    <row r="139">
      <c r="A139" t="n">
        <v>138</v>
      </c>
      <c r="B139" t="inlineStr">
        <is>
          <t>6. RAG Assistant (Conversational Q&amp;A)</t>
        </is>
      </c>
      <c r="C139" t="inlineStr">
        <is>
          <t>Chat answers application-state questions from real data and opens the matching page</t>
        </is>
      </c>
      <c r="D139" t="inlineStr">
        <is>
          <t>Completed</t>
        </is>
      </c>
      <c r="F139" t="inlineStr">
        <is>
          <t>assistantActions.js: documents / progress / verification / action needed (+ decision for staff). No AI credits needed. Questions naming another person go to the server, which enforces access.</t>
        </is>
      </c>
    </row>
    <row r="140">
      <c r="A140" t="n">
        <v>139</v>
      </c>
      <c r="B140" t="inlineStr">
        <is>
          <t>6. RAG Assistant (Conversational Q&amp;A)</t>
        </is>
      </c>
      <c r="C140" t="inlineStr">
        <is>
          <t>Grouped sample questions in the chat (documents, progress, verification, policy; officer and underwriter sets)</t>
        </is>
      </c>
      <c r="D140" t="inlineStr">
        <is>
          <t>Completed</t>
        </is>
      </c>
      <c r="F140" t="inlineStr">
        <is>
          <t>AssistantTab.js. Policy-source navigation with sentence highlighting is Section 20.</t>
        </is>
      </c>
    </row>
    <row r="141">
      <c r="A141" t="n">
        <v>140</v>
      </c>
      <c r="B141" t="inlineStr">
        <is>
          <t>10. Hosting &amp; Deployment</t>
        </is>
      </c>
      <c r="C141" t="inlineStr">
        <is>
          <t>Anthropic API credits / billing — IT ticket #2166509</t>
        </is>
      </c>
      <c r="D141" t="inlineStr">
        <is>
          <t>In Progress</t>
        </is>
      </c>
      <c r="F141" t="inlineStr">
        <is>
          <t>Key returns HTTP 400 "credit balance too low"; Console shows $0.00 on the Evaluation plan. Blocks live extraction and the AI assistant. backend/check-credits.js reproduces it. Meanwhile use MOCK_AI=true or the Groq provider.</t>
        </is>
      </c>
    </row>
    <row r="142">
      <c r="A142" t="n">
        <v>141</v>
      </c>
      <c r="B142" t="inlineStr">
        <is>
          <t>10. Hosting &amp; Deployment</t>
        </is>
      </c>
      <c r="C142" t="inlineStr">
        <is>
          <t>Rotate the Anthropic API key (it was visible in a screenshot) and update backend/.env and the Render environment</t>
        </is>
      </c>
      <c r="D142" t="inlineStr">
        <is>
          <t>Not Started</t>
        </is>
      </c>
      <c r="F142" t="inlineStr">
        <is>
          <t>Do this once billing is active. The key must only live in .env, never in .env.example.</t>
        </is>
      </c>
    </row>
    <row r="143">
      <c r="A143" t="n">
        <v>142</v>
      </c>
      <c r="B143" t="inlineStr">
        <is>
          <t>12. Documentation</t>
        </is>
      </c>
      <c r="C143" t="inlineStr">
        <is>
          <t>Reconcile LoanLensAI_RAG_Implementation_Plan.xlsx statuses with the code</t>
        </is>
      </c>
      <c r="D143" t="inlineStr">
        <is>
          <t>Not Started</t>
        </is>
      </c>
      <c r="F143" t="inlineStr">
        <is>
          <t>All 83 tasks read "Not Started" although R2 file storage and several RAG commits landed after 2026-10-02.</t>
        </is>
      </c>
    </row>
    <row r="144">
      <c r="A144" t="n">
        <v>143</v>
      </c>
      <c r="B144" t="inlineStr">
        <is>
          <t>12. Documentation</t>
        </is>
      </c>
      <c r="C144" t="inlineStr">
        <is>
          <t>Ask Rovo / ThoughtFocus mentor questions Q01–Q13 and record the answers</t>
        </is>
      </c>
      <c r="D144" t="inlineStr">
        <is>
          <t>Not Started</t>
        </is>
      </c>
      <c r="F144" t="inlineStr">
        <is>
          <t>Rovo Questions sheet of the RAG plan: all 13 still "Open", no answers. Priority: Q01 (approved cloud account), Q02 (third-party policy), Q03/Q04 (tenant isolation), Q06 (approved embeddings), Q09 (RAG evaluation).</t>
        </is>
      </c>
    </row>
    <row r="145">
      <c r="A145" t="n">
        <v>144</v>
      </c>
      <c r="B145" t="inlineStr">
        <is>
          <t>12. Documentation</t>
        </is>
      </c>
      <c r="C145" t="inlineStr">
        <is>
          <t>Document "Proposal vs Built" for the pitch (see the new sheet in this workbook) and the stack deviation (FastAPI/Azure vs Node/Claude)</t>
        </is>
      </c>
      <c r="D145" t="inlineStr">
        <is>
          <t>In Progress</t>
        </is>
      </c>
      <c r="F145" t="inlineStr">
        <is>
          <t>Sheet added 2026-10-22; keep it current so the demo never claims an unbuilt feature.</t>
        </is>
      </c>
    </row>
    <row r="146">
      <c r="A146" t="n">
        <v>145</v>
      </c>
      <c r="B146" t="inlineStr">
        <is>
          <t>18. Loan Decision &amp; Underwriter Exception Workflow</t>
        </is>
      </c>
      <c r="C146" t="inlineStr">
        <is>
          <t>Underwriter role — seeded login, not self-registrable, read-only on documents</t>
        </is>
      </c>
      <c r="D146" t="inlineStr">
        <is>
          <t>Completed</t>
        </is>
      </c>
      <c r="F146" t="inlineStr">
        <is>
          <t>underwriter@loanlens.demo. config/roles.js; self-registration still only offers officer / borrower.</t>
        </is>
      </c>
    </row>
    <row r="147">
      <c r="A147" t="n">
        <v>146</v>
      </c>
      <c r="B147" t="inlineStr">
        <is>
          <t>18. Loan Decision &amp; Underwriter Exception Workflow</t>
        </is>
      </c>
      <c r="C147" t="inlineStr">
        <is>
          <t>Decision endpoint: approve / decline / refer / return, enforced by role and application state</t>
        </is>
      </c>
      <c r="D147" t="inlineStr">
        <is>
          <t>Completed</t>
        </is>
      </c>
      <c r="F147" t="inlineStr">
        <is>
          <t>POST /applications/:id/decision; all rules in services/decisionRules.js. Before this, nothing in the app could set approved or rejected.</t>
        </is>
      </c>
    </row>
    <row r="148">
      <c r="A148" t="n">
        <v>147</v>
      </c>
      <c r="B148" t="inlineStr">
        <is>
          <t>18. Loan Decision &amp; Underwriter Exception Workflow</t>
        </is>
      </c>
      <c r="C148" t="inlineStr">
        <is>
          <t>Policy-parameter assessment: documents, identity, income, credit score, affordability — waivable vs non-waivable</t>
        </is>
      </c>
      <c r="D148" t="inlineStr">
        <is>
          <t>Completed</t>
        </is>
      </c>
      <c r="F148" t="inlineStr">
        <is>
          <t>Only credit score and affordability can be waived. Name / SSN / document-type / income mismatches and missing documents can only be fixed.</t>
        </is>
      </c>
    </row>
    <row r="149">
      <c r="A149" t="n">
        <v>148</v>
      </c>
      <c r="B149" t="inlineStr">
        <is>
          <t>18. Loan Decision &amp; Underwriter Exception Workflow</t>
        </is>
      </c>
      <c r="C149" t="inlineStr">
        <is>
          <t>Credit score entry by staff, locked to whoever currently holds the file</t>
        </is>
      </c>
      <c r="D149" t="inlineStr">
        <is>
          <t>Completed</t>
        </is>
      </c>
      <c r="F149" t="inlineStr">
        <is>
          <t>PUT /applications/:id/credit-score; manual entry (no bureau pull). Officer before referral, underwriter while referred.</t>
        </is>
      </c>
    </row>
    <row r="150">
      <c r="A150" t="n">
        <v>149</v>
      </c>
      <c r="B150" t="inlineStr">
        <is>
          <t>18. Loan Decision &amp; Underwriter Exception Workflow</t>
        </is>
      </c>
      <c r="C150" t="inlineStr">
        <is>
          <t>Exception approval: waived parameters, compensating factors, "who knows the borrower" note, conditions of approval</t>
        </is>
      </c>
      <c r="D150" t="inlineStr">
        <is>
          <t>Completed</t>
        </is>
      </c>
      <c r="F150" t="inlineStr">
        <is>
          <t>Compensating factors required (20+ chars); every unmet parameter must be named.</t>
        </is>
      </c>
    </row>
    <row r="151">
      <c r="A151" t="n">
        <v>150</v>
      </c>
      <c r="B151" t="inlineStr">
        <is>
          <t>18. Loan Decision &amp; Underwriter Exception Workflow</t>
        </is>
      </c>
      <c r="C151" t="inlineStr">
        <is>
          <t>Append-only audit trail of every review action (who, role, when, note, details)</t>
        </is>
      </c>
      <c r="D151" t="inlineStr">
        <is>
          <t>Completed</t>
        </is>
      </c>
      <c r="F151" t="inlineStr">
        <is>
          <t>Application.reviewHistory; shown on the Decision page. Covers decisions only — extraction events are in Section 19.</t>
        </is>
      </c>
    </row>
    <row r="152">
      <c r="A152" t="n">
        <v>151</v>
      </c>
      <c r="B152" t="inlineStr">
        <is>
          <t>18. Loan Decision &amp; Underwriter Exception Workflow</t>
        </is>
      </c>
      <c r="C152" t="inlineStr">
        <is>
          <t>Borrower-safe view: outcome, reasons or conditions only — never the score, audit trail or exception rationale</t>
        </is>
      </c>
      <c r="D152" t="inlineStr">
        <is>
          <t>Completed</t>
        </is>
      </c>
      <c r="F152" t="inlineStr">
        <is>
          <t>forViewer() + borrowerNotice(); unit-tested on the real functions.</t>
        </is>
      </c>
    </row>
    <row r="153">
      <c r="A153" t="n">
        <v>152</v>
      </c>
      <c r="B153" t="inlineStr">
        <is>
          <t>18. Loan Decision &amp; Underwriter Exception Workflow</t>
        </is>
      </c>
      <c r="C153" t="inlineStr">
        <is>
          <t>Documents locked while an application is referred or decided</t>
        </is>
      </c>
      <c r="D153" t="inlineStr">
        <is>
          <t>Completed</t>
        </is>
      </c>
      <c r="F153" t="inlineStr">
        <is>
          <t>documents.js upload / delete return 409; underwriter can preview files but not change them.</t>
        </is>
      </c>
    </row>
    <row r="154">
      <c r="A154" t="n">
        <v>153</v>
      </c>
      <c r="B154" t="inlineStr">
        <is>
          <t>18. Loan Decision &amp; Underwriter Exception Workflow</t>
        </is>
      </c>
      <c r="C154" t="inlineStr">
        <is>
          <t>Staff-only Decision page, "With Underwriter" status, Underwriter portal heading, staff chat questions</t>
        </is>
      </c>
      <c r="D154" t="inlineStr">
        <is>
          <t>Completed</t>
        </is>
      </c>
      <c r="F154" t="inlineStr">
        <is>
          <t>DecisionTab.js. Tested in the browser against a mock API that uses the real rules.</t>
        </is>
      </c>
    </row>
    <row r="155">
      <c r="A155" t="n">
        <v>154</v>
      </c>
      <c r="B155" t="inlineStr">
        <is>
          <t>18. Loan Decision &amp; Underwriter Exception Workflow</t>
        </is>
      </c>
      <c r="C155" t="inlineStr">
        <is>
          <t>Unit tests for decision rules and borrower-view privacy</t>
        </is>
      </c>
      <c r="D155" t="inlineStr">
        <is>
          <t>Completed</t>
        </is>
      </c>
      <c r="F155" t="inlineStr">
        <is>
          <t>backend/test/decisions/ — 21 tests.</t>
        </is>
      </c>
    </row>
    <row r="156">
      <c r="A156" t="n">
        <v>155</v>
      </c>
      <c r="B156" t="inlineStr">
        <is>
          <t>18. Loan Decision &amp; Underwriter Exception Workflow</t>
        </is>
      </c>
      <c r="C156" t="inlineStr">
        <is>
          <t>Confirm the real minimum credit score per product with the bank</t>
        </is>
      </c>
      <c r="D156" t="inlineStr">
        <is>
          <t>Not Started</t>
        </is>
      </c>
      <c r="F156" t="inlineStr">
        <is>
          <t>NEEDS INPUT — 620 (auto) / 660 (personal) / 680 (business) in config/underwriting.js are demo placeholders. Also add the "Credit Checks &amp; Credit Score Policy" document (Section 20).</t>
        </is>
      </c>
    </row>
    <row r="157">
      <c r="A157" t="n">
        <v>156</v>
      </c>
      <c r="B157" t="inlineStr">
        <is>
          <t>18. Loan Decision &amp; Underwriter Exception Workflow</t>
        </is>
      </c>
      <c r="C157" t="inlineStr">
        <is>
          <t>Click-through of the full officer &gt; underwriter &gt; borrower flow on real MongoDB</t>
        </is>
      </c>
      <c r="D157" t="inlineStr">
        <is>
          <t>Not Started</t>
        </is>
      </c>
      <c r="F157" t="inlineStr">
        <is>
          <t>Only unit tests and a mock API so far. Run npm run reset first (adds the underwriter and Arjun Mehta score 598).</t>
        </is>
      </c>
    </row>
    <row r="158">
      <c r="A158" t="n">
        <v>157</v>
      </c>
      <c r="B158" t="inlineStr">
        <is>
          <t>18. Loan Decision &amp; Underwriter Exception Workflow</t>
        </is>
      </c>
      <c r="C158" t="inlineStr">
        <is>
          <t>Add the credit-exception scenario to DEMO_SCRIPT.md</t>
        </is>
      </c>
      <c r="D158" t="inlineStr">
        <is>
          <t>Not Started</t>
        </is>
      </c>
      <c r="F158" t="inlineStr">
        <is>
          <t>Arjun Mehta (score 598): officer cannot approve, refers, underwriter approves with an exception, borrower sees only the outcome.</t>
        </is>
      </c>
    </row>
    <row r="159">
      <c r="A159" t="n">
        <v>158</v>
      </c>
      <c r="B159" t="inlineStr">
        <is>
          <t>18. Loan Decision &amp; Underwriter Exception Workflow</t>
        </is>
      </c>
      <c r="C159" t="inlineStr">
        <is>
          <t>Notify on referral and decision (email / in-app)</t>
        </is>
      </c>
      <c r="D159" t="inlineStr">
        <is>
          <t>Not Started</t>
        </is>
      </c>
      <c r="F159" t="inlineStr">
        <is>
          <t>Policy text already promises notification.</t>
        </is>
      </c>
    </row>
    <row r="160">
      <c r="A160" t="n">
        <v>159</v>
      </c>
      <c r="B160" t="inlineStr">
        <is>
          <t>18. Loan Decision &amp; Underwriter Exception Workflow</t>
        </is>
      </c>
      <c r="C160" t="inlineStr">
        <is>
          <t>Underwriter queue view — referred files first, with filters</t>
        </is>
      </c>
      <c r="D160" t="inlineStr">
        <is>
          <t>Not Started</t>
        </is>
      </c>
      <c r="F160" t="inlineStr">
        <is>
          <t>Underwriters currently see every application; referred ones show "With Underwriter".</t>
        </is>
      </c>
    </row>
    <row r="161">
      <c r="A161" t="n">
        <v>160</v>
      </c>
      <c r="B161" t="inlineStr">
        <is>
          <t>18. Loan Decision &amp; Underwriter Exception Workflow</t>
        </is>
      </c>
      <c r="C161" t="inlineStr">
        <is>
          <t>Approval limits / dual control (second approver above a loan amount)</t>
        </is>
      </c>
      <c r="D161" t="inlineStr">
        <is>
          <t>Not Started</t>
        </is>
      </c>
      <c r="F161" t="inlineStr">
        <is>
          <t>Typical bank control; not in the proposal.</t>
        </is>
      </c>
    </row>
    <row r="162">
      <c r="A162" t="n">
        <v>161</v>
      </c>
      <c r="B162" t="inlineStr">
        <is>
          <t>18. Loan Decision &amp; Underwriter Exception Workflow</t>
        </is>
      </c>
      <c r="C162" t="inlineStr">
        <is>
          <t>Appeals — re-open a decided application</t>
        </is>
      </c>
      <c r="D162" t="inlineStr">
        <is>
          <t>Not Started</t>
        </is>
      </c>
      <c r="F162" t="inlineStr">
        <is>
          <t>A decided application is currently immutable.</t>
        </is>
      </c>
    </row>
    <row r="163">
      <c r="A163" t="n">
        <v>162</v>
      </c>
      <c r="B163" t="inlineStr">
        <is>
          <t>18. Loan Decision &amp; Underwriter Exception Workflow</t>
        </is>
      </c>
      <c r="C163" t="inlineStr">
        <is>
          <t>Compliant adverse-action notice (ECOA / Reg B): creditor details, bureau disclosure when a report was used, delivery deadline</t>
        </is>
      </c>
      <c r="D163" t="inlineStr">
        <is>
          <t>Not Started</t>
        </is>
      </c>
      <c r="F163" t="inlineStr">
        <is>
          <t>Current notice is generic template wording — needs compliance review. Related to task 52.</t>
        </is>
      </c>
    </row>
    <row r="164">
      <c r="A164" t="n">
        <v>163</v>
      </c>
      <c r="B164" t="inlineStr">
        <is>
          <t>18. Loan Decision &amp; Underwriter Exception Workflow</t>
        </is>
      </c>
      <c r="C164" t="inlineStr">
        <is>
          <t>Co-signer / guarantor role (borrower-side, liable, submits own documents)</t>
        </is>
      </c>
      <c r="D164" t="inlineStr">
        <is>
          <t>Not Started</t>
        </is>
      </c>
      <c r="F164" t="inlineStr">
        <is>
          <t>Different from the underwriter: a person who vouches AND signs. Needs the multi-party model in Section 14.</t>
        </is>
      </c>
    </row>
    <row r="165">
      <c r="A165" t="n">
        <v>164</v>
      </c>
      <c r="B165" t="inlineStr">
        <is>
          <t>19. Proposal Gaps — Promised in Submission, Not Yet Built</t>
        </is>
      </c>
      <c r="C165" t="inlineStr">
        <is>
          <t>Binder dump: auto-split and classify a large mixed PDF (200–500 pages)</t>
        </is>
      </c>
      <c r="D165" t="inlineStr">
        <is>
          <t>Not Started</t>
        </is>
      </c>
      <c r="F165" t="inlineStr">
        <is>
          <t>Headline feature of the submission. Today one upload is treated as one document.</t>
        </is>
      </c>
    </row>
    <row r="166">
      <c r="A166" t="n">
        <v>165</v>
      </c>
      <c r="B166" t="inlineStr">
        <is>
          <t>19. Proposal Gaps — Promised in Submission, Not Yet Built</t>
        </is>
      </c>
      <c r="C166" t="inlineStr">
        <is>
          <t>TILA / RESPA disclosure-timing compliance checks</t>
        </is>
      </c>
      <c r="D166" t="inlineStr">
        <is>
          <t>Not Started</t>
        </is>
      </c>
      <c r="F166" t="inlineStr">
        <is>
          <t>Promised in the submission; no rule or data exists yet.</t>
        </is>
      </c>
    </row>
    <row r="167">
      <c r="A167" t="n">
        <v>166</v>
      </c>
      <c r="B167" t="inlineStr">
        <is>
          <t>19. Proposal Gaps — Promised in Submission, Not Yet Built</t>
        </is>
      </c>
      <c r="C167" t="inlineStr">
        <is>
          <t>MISMO-standard JSON output for LOS integration</t>
        </is>
      </c>
      <c r="D167" t="inlineStr">
        <is>
          <t>Not Started</t>
        </is>
      </c>
      <c r="F167" t="inlineStr">
        <is>
          <t>Phase 3 in the submission; legitimately later.</t>
        </is>
      </c>
    </row>
    <row r="168">
      <c r="A168" t="n">
        <v>167</v>
      </c>
      <c r="B168" t="inlineStr">
        <is>
          <t>19. Proposal Gaps — Promised in Submission, Not Yet Built</t>
        </is>
      </c>
      <c r="C168" t="inlineStr">
        <is>
          <t>Cross-document address check (application vs licence / pay stub / bank statement)</t>
        </is>
      </c>
      <c r="D168" t="inlineStr">
        <is>
          <t>Not Started</t>
        </is>
      </c>
      <c r="F168" t="inlineStr">
        <is>
          <t>Submission promised name, SSN, income and address. Address is extracted but not compared. Distinct from task 131 (USPS validation).</t>
        </is>
      </c>
    </row>
    <row r="169">
      <c r="A169" t="n">
        <v>168</v>
      </c>
      <c r="B169" t="inlineStr">
        <is>
          <t>19. Proposal Gaps — Promised in Submission, Not Yet Built</t>
        </is>
      </c>
      <c r="C169" t="inlineStr">
        <is>
          <t>Complete audit trail of every extraction and decision</t>
        </is>
      </c>
      <c r="D169" t="inlineStr">
        <is>
          <t>In Progress</t>
        </is>
      </c>
      <c r="F169" t="inlineStr">
        <is>
          <t>Decisions and credit-score entries are logged (Section 18). Uploads, extractions and re-verifications are not.</t>
        </is>
      </c>
    </row>
    <row r="170">
      <c r="A170" t="n">
        <v>169</v>
      </c>
      <c r="B170" t="inlineStr">
        <is>
          <t>19. Proposal Gaps — Promised in Submission, Not Yet Built</t>
        </is>
      </c>
      <c r="C170" t="inlineStr">
        <is>
          <t>Multi-tenant SaaS: per-bank tenancy and policy indexing</t>
        </is>
      </c>
      <c r="D170" t="inlineStr">
        <is>
          <t>Not Started</t>
        </is>
      </c>
      <c r="F170" t="inlineStr">
        <is>
          <t>RAG plan phase P2; the app is single-bank today.</t>
        </is>
      </c>
    </row>
    <row r="171">
      <c r="A171" t="n">
        <v>170</v>
      </c>
      <c r="B171" t="inlineStr">
        <is>
          <t>19. Proposal Gaps — Promised in Submission, Not Yet Built</t>
        </is>
      </c>
      <c r="C171" t="inlineStr">
        <is>
          <t>GLBA / SOC 2-aligned controls: encryption at rest, zero-retention LLM terms, access logging</t>
        </is>
      </c>
      <c r="D171" t="inlineStr">
        <is>
          <t>Not Started</t>
        </is>
      </c>
      <c r="F171" t="inlineStr">
        <is>
          <t>Submission risk-mitigation promise; only role-based access exists today.</t>
        </is>
      </c>
    </row>
    <row r="172">
      <c r="A172" t="n">
        <v>171</v>
      </c>
      <c r="B172" t="inlineStr">
        <is>
          <t>19. Proposal Gaps — Promised in Submission, Not Yet Built</t>
        </is>
      </c>
      <c r="C172" t="inlineStr">
        <is>
          <t>Pay stub / bank statement recency check (policy: within 30 days)</t>
        </is>
      </c>
      <c r="D172" t="inlineStr">
        <is>
          <t>Not Started</t>
        </is>
      </c>
      <c r="F172" t="inlineStr">
        <is>
          <t>Policy and FAQ say older documents are rejected; verification.js has no date check.</t>
        </is>
      </c>
    </row>
    <row r="173">
      <c r="A173" t="n">
        <v>172</v>
      </c>
      <c r="B173" t="inlineStr">
        <is>
          <t>19. Proposal Gaps — Promised in Submission, Not Yet Built</t>
        </is>
      </c>
      <c r="C173" t="inlineStr">
        <is>
          <t>ID expiry check (policy: expired IDs are not accepted)</t>
        </is>
      </c>
      <c r="D173" t="inlineStr">
        <is>
          <t>Not Started</t>
        </is>
      </c>
      <c r="F173" t="inlineStr">
        <is>
          <t>No expiry field is extracted or checked.</t>
        </is>
      </c>
    </row>
    <row r="174">
      <c r="A174" t="n">
        <v>173</v>
      </c>
      <c r="B174" t="inlineStr">
        <is>
          <t>19. Proposal Gaps — Promised in Submission, Not Yet Built</t>
        </is>
      </c>
      <c r="C174" t="inlineStr">
        <is>
          <t>Edit an application after submission (FAQ says borrowers can)</t>
        </is>
      </c>
      <c r="D174" t="inlineStr">
        <is>
          <t>Not Started</t>
        </is>
      </c>
      <c r="F174" t="inlineStr">
        <is>
          <t>No edit endpoint or screen exists.</t>
        </is>
      </c>
    </row>
    <row r="175">
      <c r="A175" t="n">
        <v>174</v>
      </c>
      <c r="B175" t="inlineStr">
        <is>
          <t>19. Proposal Gaps — Promised in Submission, Not Yet Built</t>
        </is>
      </c>
      <c r="C175" t="inlineStr">
        <is>
          <t>Reconcile policy text with code: payment ratios (policy 3x / 45% vs code 15% / 20%) and term options</t>
        </is>
      </c>
      <c r="D175" t="inlineStr">
        <is>
          <t>Not Started</t>
        </is>
      </c>
      <c r="F175" t="inlineStr">
        <is>
          <t>Answers currently quote the policy numbers, not the ones the system enforces. See docs/POLICY_COVERAGE_AND_QUESTIONS.md section 1.</t>
        </is>
      </c>
    </row>
    <row r="176">
      <c r="A176" t="n">
        <v>175</v>
      </c>
      <c r="B176" t="inlineStr">
        <is>
          <t>19. Proposal Gaps — Promised in Submission, Not Yet Built</t>
        </is>
      </c>
      <c r="C176" t="inlineStr">
        <is>
          <t>Auto loan: capture vehicle value / purchase document for the "110% of book value" rule</t>
        </is>
      </c>
      <c r="D176" t="inlineStr">
        <is>
          <t>Not Started</t>
        </is>
      </c>
      <c r="F176" t="inlineStr">
        <is>
          <t>Policy states the limit; no field or document supports it.</t>
        </is>
      </c>
    </row>
    <row r="177">
      <c r="A177" t="n">
        <v>176</v>
      </c>
      <c r="B177" t="inlineStr">
        <is>
          <t>19. Proposal Gaps — Promised in Submission, Not Yet Built</t>
        </is>
      </c>
      <c r="C177" t="inlineStr">
        <is>
          <t>Review policy promises the product does not keep (email notice, rejection of blurry documents)</t>
        </is>
      </c>
      <c r="D177" t="inlineStr">
        <is>
          <t>Not Started</t>
        </is>
      </c>
      <c r="F177" t="inlineStr">
        <is>
          <t>Either build the behaviour or reword the policy; list in POLICY_COVERAGE_AND_QUESTIONS.md section 1b.</t>
        </is>
      </c>
    </row>
    <row r="178">
      <c r="A178" t="n">
        <v>177</v>
      </c>
      <c r="B178" t="inlineStr">
        <is>
          <t>20. Policy Documents &amp; Policy Page</t>
        </is>
      </c>
      <c r="C178" t="inlineStr">
        <is>
          <t>Check which policy documents are actually live in the admin panel and compare with the required list</t>
        </is>
      </c>
      <c r="D178" t="inlineStr">
        <is>
          <t>Not Started</t>
        </is>
      </c>
      <c r="F178" t="inlineStr">
        <is>
          <t>Uploads are stored only as Chroma chunks; GET /rag-admin/documents (admin login) lists them. Not readable from the dev machine.</t>
        </is>
      </c>
    </row>
    <row r="179">
      <c r="A179" t="n">
        <v>178</v>
      </c>
      <c r="B179" t="inlineStr">
        <is>
          <t>20. Policy Documents &amp; Policy Page</t>
        </is>
      </c>
      <c r="C179" t="inlineStr">
        <is>
          <t>Policy document: Interest Rates, Fees &amp; Charges</t>
        </is>
      </c>
      <c r="D179" t="inlineStr">
        <is>
          <t>Not Started</t>
        </is>
      </c>
      <c r="F179" t="inlineStr">
        <is>
          <t>Priority 1. Router already sends rate / fee questions to policy; no document exists. Must not quote specific rates.</t>
        </is>
      </c>
    </row>
    <row r="180">
      <c r="A180" t="n">
        <v>179</v>
      </c>
      <c r="B180" t="inlineStr">
        <is>
          <t>20. Policy Documents &amp; Policy Page</t>
        </is>
      </c>
      <c r="C180" t="inlineStr">
        <is>
          <t>Policy document: Repayment, Prepayment &amp; Foreclosure</t>
        </is>
      </c>
      <c r="D180" t="inlineStr">
        <is>
          <t>Not Started</t>
        </is>
      </c>
      <c r="F180" t="inlineStr">
        <is>
          <t>Priority 1.</t>
        </is>
      </c>
    </row>
    <row r="181">
      <c r="A181" t="n">
        <v>180</v>
      </c>
      <c r="B181" t="inlineStr">
        <is>
          <t>20. Policy Documents &amp; Policy Page</t>
        </is>
      </c>
      <c r="C181" t="inlineStr">
        <is>
          <t>Policy document: Credit Checks &amp; Credit Score Policy</t>
        </is>
      </c>
      <c r="D181" t="inlineStr">
        <is>
          <t>Not Started</t>
        </is>
      </c>
      <c r="F181" t="inlineStr">
        <is>
          <t>Priority 1. Also supplies the minimum scores used by the underwriter workflow.</t>
        </is>
      </c>
    </row>
    <row r="182">
      <c r="A182" t="n">
        <v>181</v>
      </c>
      <c r="B182" t="inlineStr">
        <is>
          <t>20. Policy Documents &amp; Policy Page</t>
        </is>
      </c>
      <c r="C182" t="inlineStr">
        <is>
          <t>Policy document: Co-signers &amp; Joint Applicants</t>
        </is>
      </c>
      <c r="D182" t="inlineStr">
        <is>
          <t>Not Started</t>
        </is>
      </c>
      <c r="F182" t="inlineStr">
        <is>
          <t>Priority 1.</t>
        </is>
      </c>
    </row>
    <row r="183">
      <c r="A183" t="n">
        <v>182</v>
      </c>
      <c r="B183" t="inlineStr">
        <is>
          <t>20. Policy Documents &amp; Policy Page</t>
        </is>
      </c>
      <c r="C183" t="inlineStr">
        <is>
          <t>Policy document: Collateral &amp; Vehicle Requirements (auto)</t>
        </is>
      </c>
      <c r="D183" t="inlineStr">
        <is>
          <t>Not Started</t>
        </is>
      </c>
      <c r="F183" t="inlineStr">
        <is>
          <t>Priority 1.</t>
        </is>
      </c>
    </row>
    <row r="184">
      <c r="A184" t="n">
        <v>183</v>
      </c>
      <c r="B184" t="inlineStr">
        <is>
          <t>20. Policy Documents &amp; Policy Page</t>
        </is>
      </c>
      <c r="C184" t="inlineStr">
        <is>
          <t>Policy document: Adverse Action, Denial Reasons &amp; Appeals</t>
        </is>
      </c>
      <c r="D184" t="inlineStr">
        <is>
          <t>Not Started</t>
        </is>
      </c>
      <c r="F184" t="inlineStr">
        <is>
          <t>Priority 1.</t>
        </is>
      </c>
    </row>
    <row r="185">
      <c r="A185" t="n">
        <v>184</v>
      </c>
      <c r="B185" t="inlineStr">
        <is>
          <t>20. Policy Documents &amp; Policy Page</t>
        </is>
      </c>
      <c r="C185" t="inlineStr">
        <is>
          <t>Policy documents, priority 2: late payment &amp; hardship, privacy &amp; retention, closing &amp; disbursement, contact &amp; escalation, eligibility by employment type</t>
        </is>
      </c>
      <c r="D185" t="inlineStr">
        <is>
          <t>Not Started</t>
        </is>
      </c>
      <c r="F185" t="inlineStr">
        <is>
          <t>See POLICY_COVERAGE_AND_QUESTIONS.md section 3.</t>
        </is>
      </c>
    </row>
    <row r="186">
      <c r="A186" t="n">
        <v>185</v>
      </c>
      <c r="B186" t="inlineStr">
        <is>
          <t>20. Policy Documents &amp; Policy Page</t>
        </is>
      </c>
      <c r="C186" t="inlineStr">
        <is>
          <t>Remove the "Fictional policy… synthetic content" banner line from every policy file</t>
        </is>
      </c>
      <c r="D186" t="inlineStr">
        <is>
          <t>Not Started</t>
        </is>
      </c>
      <c r="F186" t="inlineStr">
        <is>
          <t>It lands inside the first retrieved chunk and can be quoted in answers.</t>
        </is>
      </c>
    </row>
    <row r="187">
      <c r="A187" t="n">
        <v>186</v>
      </c>
      <c r="B187" t="inlineStr">
        <is>
          <t>20. Policy Documents &amp; Policy Page</t>
        </is>
      </c>
      <c r="C187" t="inlineStr">
        <is>
          <t>Policy read API: list documents and return chunks in order (any logged-in user)</t>
        </is>
      </c>
      <c r="D187" t="inlineStr">
        <is>
          <t>Not Started</t>
        </is>
      </c>
      <c r="F187" t="inlineStr">
        <is>
          <t>Needed by the policy page; getCollectionRecords must also request document text.</t>
        </is>
      </c>
    </row>
    <row r="188">
      <c r="A188" t="n">
        <v>187</v>
      </c>
      <c r="B188" t="inlineStr">
        <is>
          <t>20. Policy Documents &amp; Policy Page</t>
        </is>
      </c>
      <c r="C188" t="inlineStr">
        <is>
          <t>Policy page: open the cited policy, highlight the matching sentence, link from chat sources and sidebar</t>
        </is>
      </c>
      <c r="D188" t="inlineStr">
        <is>
          <t>Not Started</t>
        </is>
      </c>
      <c r="F188" t="inlineStr">
        <is>
          <t>Design in POLICY_COVERAGE_AND_QUESTIONS.md section 5. Open decision: which policies borrowers may see.</t>
        </is>
      </c>
    </row>
    <row r="189">
      <c r="A189" t="n">
        <v>188</v>
      </c>
      <c r="B189" t="inlineStr">
        <is>
          <t>20. Policy Documents &amp; Policy Page</t>
        </is>
      </c>
      <c r="C189" t="inlineStr">
        <is>
          <t>Add the 55 question scenarios to data/seed/test-questions.md and run them</t>
        </is>
      </c>
      <c r="D189" t="inlineStr">
        <is>
          <t>Not Started</t>
        </is>
      </c>
      <c r="F189" t="inlineStr">
        <is>
          <t>Covers policy, own-application, mixed, follow-up, refuse and officer questions.</t>
        </is>
      </c>
    </row>
    <row r="190">
      <c r="A190" t="n">
        <v>189</v>
      </c>
      <c r="B190" t="inlineStr">
        <is>
          <t>17. Identity, Address &amp; Credit Verification (KYC / Underwriting)</t>
        </is>
      </c>
      <c r="C190" t="inlineStr">
        <is>
          <t>Simulated bureau: SSN / name / date-of-birth match, sanctions screening and credit report from scripted test records</t>
        </is>
      </c>
      <c r="D190" t="inlineStr">
        <is>
          <t>Completed</t>
        </is>
      </c>
      <c r="F190" t="inlineStr">
        <is>
          <t>services/simulatedBureau.js, config/testPersonas.js; route POST /applications/:id/verify. Labelled "Simulated" in the UI and audit trail. A real provider replaces one call.</t>
        </is>
      </c>
    </row>
    <row r="191">
      <c r="A191" t="n">
        <v>190</v>
      </c>
      <c r="B191" t="inlineStr">
        <is>
          <t>17. Identity, Address &amp; Credit Verification (KYC / Underwriting)</t>
        </is>
      </c>
      <c r="C191" t="inlineStr">
        <is>
          <t>Driver's licence checks on upload: expiry, date of birth and address vs the application</t>
        </is>
      </c>
      <c r="D191" t="inlineStr">
        <is>
          <t>Completed</t>
        </is>
      </c>
      <c r="F191" t="inlineStr">
        <is>
          <t>Real checks, not simulated. Expired ID is a mismatch (borrower must re-upload); an address difference is only a warning. Extraction prompts now read dateOfBirth, licenseNumber, licenseExpiry.</t>
        </is>
      </c>
    </row>
    <row r="192">
      <c r="A192" t="n">
        <v>191</v>
      </c>
      <c r="B192" t="inlineStr">
        <is>
          <t>17. Identity, Address &amp; Credit Verification (KYC / Underwriting)</t>
        </is>
      </c>
      <c r="C192" t="inlineStr">
        <is>
          <t>Five jury test borrowers with pre-loaded documents: Priya (clean), Arjun (low score), Rohan (SSN mismatch), Meera (expired ID), Kavya (no credit history)</t>
        </is>
      </c>
      <c r="D192" t="inlineStr">
        <is>
          <t>Completed</t>
        </is>
      </c>
      <c r="F192" t="inlineStr">
        <is>
          <t>services/seedData.js; documents from data/seed/generate_persona_documents.py. Walkthrough in docs/SIMULATED_VERIFICATION.md.</t>
        </is>
      </c>
    </row>
    <row r="193">
      <c r="A193" t="n">
        <v>192</v>
      </c>
      <c r="B193" t="inlineStr">
        <is>
          <t>17. Identity, Address &amp; Credit Verification (KYC / Underwriting)</t>
        </is>
      </c>
      <c r="C193" t="inlineStr">
        <is>
          <t>Decision page: "Run identity and credit checks" card; identity and sanctions are non-waivable parameters</t>
        </is>
      </c>
      <c r="D193" t="inlineStr">
        <is>
          <t>Completed</t>
        </is>
      </c>
      <c r="F193" t="inlineStr">
        <is>
          <t>Nothing can be approved or referred until the checks have been run. A score can still be typed in by hand (thin-file borrowers).</t>
        </is>
      </c>
    </row>
    <row r="194">
      <c r="A194" t="n">
        <v>193</v>
      </c>
      <c r="B194" t="inlineStr">
        <is>
          <t>17. Identity, Address &amp; Credit Verification (KYC / Underwriting)</t>
        </is>
      </c>
      <c r="C194" t="inlineStr">
        <is>
          <t>Shared seed module for `npm run seed` and /admin/reset (previously two copies)</t>
        </is>
      </c>
      <c r="D194" t="inlineStr">
        <is>
          <t>Completed</t>
        </is>
      </c>
      <c r="F194" t="inlineStr">
        <is>
          <t>services/seedData.js. Arjun Mehta now ships with his documents pre-loaded.</t>
        </is>
      </c>
    </row>
    <row r="195">
      <c r="A195" t="n">
        <v>194</v>
      </c>
      <c r="B195" t="inlineStr">
        <is>
          <t>17. Identity, Address &amp; Credit Verification (KYC / Underwriting)</t>
        </is>
      </c>
      <c r="C195" t="inlineStr">
        <is>
          <t>Unit tests for the five stories and the licence checks</t>
        </is>
      </c>
      <c r="D195" t="inlineStr">
        <is>
          <t>Completed</t>
        </is>
      </c>
      <c r="F195" t="inlineStr">
        <is>
          <t>backend/test/simulated/personas.test.js — 11 tests, real seed data through real code, no database.</t>
        </is>
      </c>
    </row>
    <row r="196">
      <c r="A196" t="n">
        <v>195</v>
      </c>
      <c r="B196" t="inlineStr">
        <is>
          <t>17. Identity, Address &amp; Credit Verification (KYC / Underwriting)</t>
        </is>
      </c>
      <c r="C196" t="inlineStr">
        <is>
          <t>Click-through of the five stories on real MongoDB after npm run reset</t>
        </is>
      </c>
      <c r="D196" t="inlineStr">
        <is>
          <t>Not Started</t>
        </is>
      </c>
      <c r="F196" t="inlineStr">
        <is>
          <t>Only unit tests and a mock API so far (Rohan and Meera previewed in the browser).</t>
        </is>
      </c>
    </row>
    <row r="197">
      <c r="A197" t="n">
        <v>196</v>
      </c>
      <c r="B197" t="inlineStr">
        <is>
          <t>17. Identity, Address &amp; Credit Verification (KYC / Underwriting)</t>
        </is>
      </c>
      <c r="C197" t="inlineStr">
        <is>
          <t>Add the five identity / credit stories to DEMO_SCRIPT.md</t>
        </is>
      </c>
      <c r="D197" t="inlineStr">
        <is>
          <t>Not Started</t>
        </is>
      </c>
      <c r="F197" t="inlineStr">
        <is>
          <t>Suggested order is in docs/SIMULATED_VERIFICATION.md.</t>
        </is>
      </c>
    </row>
    <row r="198">
      <c r="A198" t="n">
        <v>197</v>
      </c>
      <c r="B198" t="inlineStr">
        <is>
          <t>17. Identity, Address &amp; Credit Verification (KYC / Underwriting)</t>
        </is>
      </c>
      <c r="C198" t="inlineStr">
        <is>
          <t>Replace the simulated bureau with a real provider adapter</t>
        </is>
      </c>
      <c r="D198" t="inlineStr">
        <is>
          <t>Not Started</t>
        </is>
      </c>
      <c r="F198" t="inlineStr">
        <is>
          <t>NEEDS FUNDING / CONTRACT — credit bureau or reseller, SSN match / identity network, sanctions list. Needs the borrower consent flow and FCRA permissible purpose.</t>
        </is>
      </c>
    </row>
    <row r="199">
      <c r="A199" t="n">
        <v>198</v>
      </c>
      <c r="B199" t="inlineStr">
        <is>
          <t>17. Identity, Address &amp; Credit Verification (KYC / Underwriting)</t>
        </is>
      </c>
      <c r="C199" t="inlineStr">
        <is>
          <t>Citizenship / residency status field and the product rules that use it</t>
        </is>
      </c>
      <c r="D199" t="inlineStr">
        <is>
          <t>Not Started</t>
        </is>
      </c>
      <c r="F199" t="inlineStr">
        <is>
          <t>US lenders rarely verify citizenship; they verify identity (CIP) and apply product policy to residency. Needs a policy decision first.</t>
        </is>
      </c>
    </row>
    <row r="200">
      <c r="A200" t="n">
        <v>199</v>
      </c>
      <c r="B200" t="inlineStr">
        <is>
          <t>17. Identity, Address &amp; Credit Verification (KYC / Underwriting)</t>
        </is>
      </c>
      <c r="C200" t="inlineStr">
        <is>
          <t>Store the SSN securely (encrypted or keyed hash) instead of last four digits only</t>
        </is>
      </c>
      <c r="D200" t="inlineStr">
        <is>
          <t>Not Started</t>
        </is>
      </c>
      <c r="F200" t="inlineStr">
        <is>
          <t>Required before any real bureau pull; also feeds duplicate detection.</t>
        </is>
      </c>
    </row>
    <row r="201">
      <c r="A201" t="n">
        <v>200</v>
      </c>
      <c r="B201" t="inlineStr">
        <is>
          <t>17. Identity, Address &amp; Credit Verification (KYC / Underwriting)</t>
        </is>
      </c>
      <c r="C201" t="inlineStr">
        <is>
          <t>Detect the same SSN used on more than one application</t>
        </is>
      </c>
      <c r="D201" t="inlineStr">
        <is>
          <t>Not Started</t>
        </is>
      </c>
      <c r="F201" t="inlineStr">
        <is>
          <t>RAG plan edge case E01 (duplicate customers / fraud ring).</t>
        </is>
      </c>
    </row>
    <row r="202">
      <c r="A202" t="n">
        <v>201</v>
      </c>
      <c r="B202" t="inlineStr">
        <is>
          <t>17. Identity, Address &amp; Credit Verification (KYC / Underwriting)</t>
        </is>
      </c>
      <c r="C202" t="inlineStr">
        <is>
          <t>Soft vs hard credit-pull disclosure wording in the consent step</t>
        </is>
      </c>
      <c r="D202" t="inlineStr">
        <is>
          <t>Not Started</t>
        </is>
      </c>
      <c r="F202" t="inlineStr">
        <is>
          <t>Current consent only says credit pull is authorised.</t>
        </is>
      </c>
    </row>
  </sheetData>
  <autoFilter ref="A1:F202"/>
  <conditionalFormatting sqref="D2:D202">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202" showDropDown="0" showInputMessage="0" showErrorMessage="0" allowBlank="1"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row r="26" ht="90" customHeight="1">
      <c r="A26" s="13" t="n">
        <v>25</v>
      </c>
      <c r="B26" s="14" t="inlineStr">
        <is>
          <t>Document preview/delete</t>
        </is>
      </c>
      <c r="C26" s="15" t="inlineStr">
        <is>
          <t>Preview opens the actual uploaded file in a new tab</t>
        </is>
      </c>
      <c r="D26" s="15" t="inlineStr">
        <is>
          <t>Tap Preview on any uploaded document card.</t>
        </is>
      </c>
      <c r="E26" s="15" t="inlineStr">
        <is>
          <t>A new tab opens showing the real image/PDF that was uploaded, not a placeholder — usable to check you uploaded the right file.</t>
        </is>
      </c>
      <c r="F26" s="15" t="inlineStr">
        <is>
          <t>Directly answers 'how do I know what I actually uploaded' — previously there was no way to check at all once a file was processed.</t>
        </is>
      </c>
      <c r="G26" s="18" t="inlineStr">
        <is>
          <t>Not yet — implemented in code, needs a live click-through once real MongoDB/Claude credentials exist</t>
        </is>
      </c>
    </row>
    <row r="27" ht="90" customHeight="1">
      <c r="A27" s="13" t="n">
        <v>26</v>
      </c>
      <c r="B27" s="14" t="inlineStr">
        <is>
          <t>Document preview/delete</t>
        </is>
      </c>
      <c r="C27" s="15" t="inlineStr">
        <is>
          <t>Delete removes a document and the item goes back to missing</t>
        </is>
      </c>
      <c r="D27" s="15" t="inlineStr">
        <is>
          <t>Tap Delete on an uploaded document, confirm the dialog.</t>
        </is>
      </c>
      <c r="E27" s="15" t="inlineStr">
        <is>
          <t>The document disappears from Uploaded Documents; the corresponding Required Documents row goes back to Pending.</t>
        </is>
      </c>
      <c r="F27" s="15" t="inlineStr">
        <is>
          <t>A genuinely destructive, different action from a targeted re-upload (which supersedes and keeps history) — confirmation dialog matters here specifically.</t>
        </is>
      </c>
      <c r="G27" s="18" t="inlineStr">
        <is>
          <t>Not yet — implemented in code, needs a live click-through once real MongoDB/Claude credentials exist</t>
        </is>
      </c>
    </row>
    <row r="28" ht="90" customHeight="1">
      <c r="A28" s="13" t="n">
        <v>27</v>
      </c>
      <c r="B28" s="14" t="inlineStr">
        <is>
          <t>Document preview/delete</t>
        </is>
      </c>
      <c r="C28" s="15" t="inlineStr">
        <is>
          <t>Delete's confirmation dialog actually appears on web</t>
        </is>
      </c>
      <c r="D28" s="15" t="inlineStr">
        <is>
          <t>Tap Delete in a browser (not the native app).</t>
        </is>
      </c>
      <c r="E28" s="15" t="inlineStr">
        <is>
          <t>A confirm dialog appears (window.confirm), not silence.</t>
        </is>
      </c>
      <c r="F28" s="15" t="inlineStr">
        <is>
          <t>Caught before shipping: react-native-web's Alert.alert is a no-op on web — using it directly would have made Delete silently do nothing when clicked in a browser, with no error and no visible failure.</t>
        </is>
      </c>
      <c r="G28" s="18" t="inlineStr">
        <is>
          <t>Not yet — implemented in code, needs a live click-through once real MongoDB/Claude credentials exist</t>
        </is>
      </c>
    </row>
    <row r="29" ht="90" customHeight="1">
      <c r="A29" s="13" t="n">
        <v>28</v>
      </c>
      <c r="B29" s="14" t="inlineStr">
        <is>
          <t>Perfect application</t>
        </is>
      </c>
      <c r="C29" s="15" t="inlineStr">
        <is>
          <t>Priya Nair's application shows zero action-needed items out of the box</t>
        </is>
      </c>
      <c r="D29" s="15" t="inlineStr">
        <is>
          <t>Log in as officer or priya.nair@example.demo right after a fresh seed/reset — no manual upload needed.</t>
        </is>
      </c>
      <c r="E29" s="15" t="inlineStr">
        <is>
          <t>All 3 required documents show 'Received', Action Needed is empty, application status is 'Submitted' (not 'Needs Review').</t>
        </is>
      </c>
      <c r="F29" s="15" t="inlineStr">
        <is>
          <t>A reference 'everything's correct' example to compare against, without depending on the user manually finding and uploading the exact right 3 files themselves first.</t>
        </is>
      </c>
      <c r="G29" s="18" t="inlineStr">
        <is>
          <t>Not yet — implemented in code, needs a live click-through once real MongoDB/Claude credentials exist</t>
        </is>
      </c>
    </row>
    <row r="30" ht="90" customHeight="1">
      <c r="A30" s="13" t="n">
        <v>29</v>
      </c>
      <c r="B30" s="14" t="inlineStr">
        <is>
          <t>Verification checklist</t>
        </is>
      </c>
      <c r="C30" s="15" t="inlineStr">
        <is>
          <t>Documents tab lists every check, matches and flags</t>
        </is>
      </c>
      <c r="D30" s="15" t="inlineStr">
        <is>
          <t>Upload any document and look at its card on the Documents tab.</t>
        </is>
      </c>
      <c r="E30" s="15" t="inlineStr">
        <is>
          <t>A "Verification checks" block shows "N fields extracted · M checks run · X matched · Y flagged" and one row per check with expected vs found. An application-wide summary sits above the documents.</t>
        </is>
      </c>
      <c r="F30" s="15" t="inlineStr">
        <is>
          <t>The jury asked to see which parameters are verified, not only the problems.</t>
        </is>
      </c>
      <c r="G30" s="18" t="inlineStr">
        <is>
          <t>Yes — previewed in the browser with sample data; a real upload has not been clicked through</t>
        </is>
      </c>
    </row>
    <row r="31" ht="90" customHeight="1">
      <c r="A31" s="13" t="n">
        <v>30</v>
      </c>
      <c r="B31" s="14" t="inlineStr">
        <is>
          <t>Page URLs</t>
        </is>
      </c>
      <c r="C31" s="15" t="inlineStr">
        <is>
          <t>A reload keeps you on the same application page</t>
        </is>
      </c>
      <c r="D31" s="15" t="inlineStr">
        <is>
          <t>Open /applications/&lt;id&gt;/progress while logged in and reload the browser.</t>
        </is>
      </c>
      <c r="E31" s="15" t="inlineStr">
        <is>
          <t>You stay on the Progress page; the tab title reads "LoanLens AI · Application · Progress".</t>
        </is>
      </c>
      <c r="F31" s="15" t="inlineStr">
        <is>
          <t>Pages can be bookmarked and shared; the chat can open them.</t>
        </is>
      </c>
      <c r="G31" s="18" t="inlineStr">
        <is>
          <t>Yes — browser against a mock API</t>
        </is>
      </c>
    </row>
    <row r="32" ht="90" customHeight="1">
      <c r="A32" s="13" t="n">
        <v>31</v>
      </c>
      <c r="B32" s="14" t="inlineStr">
        <is>
          <t>Chat navigation</t>
        </is>
      </c>
      <c r="C32" s="15" t="inlineStr">
        <is>
          <t>"What documents have I uploaded?" opens the Documents page</t>
        </is>
      </c>
      <c r="D32" s="15" t="inlineStr">
        <is>
          <t>Open the chat and ask the question (or click the sample question).</t>
        </is>
      </c>
      <c r="E32" s="15" t="inlineStr">
        <is>
          <t>The answer lists the uploaded documents and any still needed, and the Documents page opens with an "Opened Documents" link.</t>
        </is>
      </c>
      <c r="F32" s="15" t="inlineStr">
        <is>
          <t>Chat becomes a way to navigate, and the answer comes from real data, not the AI.</t>
        </is>
      </c>
      <c r="G32" s="18" t="inlineStr">
        <is>
          <t>Yes — browser against a mock API</t>
        </is>
      </c>
    </row>
    <row r="33" ht="90" customHeight="1">
      <c r="A33" s="13" t="n">
        <v>32</v>
      </c>
      <c r="B33" s="14" t="inlineStr">
        <is>
          <t>Chat navigation</t>
        </is>
      </c>
      <c r="C33" s="15" t="inlineStr">
        <is>
          <t>Asking from the Assistant page does not lose the conversation</t>
        </is>
      </c>
      <c r="D33" s="15" t="inlineStr">
        <is>
          <t>On the Assistant page ask "What is the progress of my application?".</t>
        </is>
      </c>
      <c r="E33" s="15" t="inlineStr">
        <is>
          <t>The answer stays on the page with an "Open Progress" link instead of navigating away.</t>
        </is>
      </c>
      <c r="F33" s="15" t="inlineStr">
        <is>
          <t>Navigating would unmount the chat and lose the conversation.</t>
        </is>
      </c>
      <c r="G33" s="18" t="inlineStr">
        <is>
          <t>Yes — browser against a mock API</t>
        </is>
      </c>
    </row>
    <row r="34" ht="90" customHeight="1">
      <c r="A34" s="13" t="n">
        <v>33</v>
      </c>
      <c r="B34" s="14" t="inlineStr">
        <is>
          <t>Decision workflow</t>
        </is>
      </c>
      <c r="C34" s="15" t="inlineStr">
        <is>
          <t>Loan officer cannot approve a file whose credit score is below the minimum</t>
        </is>
      </c>
      <c r="D34" s="15" t="inlineStr">
        <is>
          <t>Record a score of 598 on a personal-loan file (minimum 660) and try to approve.</t>
        </is>
      </c>
      <c r="E34" s="15" t="inlineStr">
        <is>
          <t>Approve is disabled and the API returns 422 "Refer it to the underwriter for an exception". Referring is offered.</t>
        </is>
      </c>
      <c r="F34" s="15" t="inlineStr">
        <is>
          <t>The core of the exception process: an officer cannot approve past a parameter.</t>
        </is>
      </c>
      <c r="G34" s="18" t="inlineStr">
        <is>
          <t>Yes — unit tests and mock API; not on real MongoDB</t>
        </is>
      </c>
    </row>
    <row r="35" ht="90" customHeight="1">
      <c r="A35" s="13" t="n">
        <v>34</v>
      </c>
      <c r="B35" s="14" t="inlineStr">
        <is>
          <t>Decision workflow</t>
        </is>
      </c>
      <c r="C35" s="15" t="inlineStr">
        <is>
          <t>An exception needs a justification, compensating factors and every unmet parameter named</t>
        </is>
      </c>
      <c r="D35" s="15" t="inlineStr">
        <is>
          <t>As officer refer with a 2-character note; as underwriter approve without compensating factors.</t>
        </is>
      </c>
      <c r="E35" s="15" t="inlineStr">
        <is>
          <t>Both are refused with a specific message; with proper text the referral and the exception approval succeed.</t>
        </is>
      </c>
      <c r="F35" s="15" t="inlineStr">
        <is>
          <t>Stops "ok" from being a reason for waiving a bank rule.</t>
        </is>
      </c>
      <c r="G35" s="18" t="inlineStr">
        <is>
          <t>Yes — unit tests</t>
        </is>
      </c>
    </row>
    <row r="36" ht="90" customHeight="1">
      <c r="A36" s="13" t="n">
        <v>35</v>
      </c>
      <c r="B36" s="14" t="inlineStr">
        <is>
          <t>Decision workflow</t>
        </is>
      </c>
      <c r="C36" s="15" t="inlineStr">
        <is>
          <t>A non-waivable mismatch can never be referred or waived</t>
        </is>
      </c>
      <c r="D36" s="15" t="inlineStr">
        <is>
          <t>Use a file with an SSN or name mismatch and a low credit score; try to refer, then (as underwriter) waive "identity".</t>
        </is>
      </c>
      <c r="E36" s="15" t="inlineStr">
        <is>
          <t>Referral and waiver are refused: the borrower must correct the mismatch.</t>
        </is>
      </c>
      <c r="F36" s="15" t="inlineStr">
        <is>
          <t>An exception is for a short borrower, not for documents that disagree about who the borrower is.</t>
        </is>
      </c>
      <c r="G36" s="18" t="inlineStr">
        <is>
          <t>Yes — unit tests</t>
        </is>
      </c>
    </row>
    <row r="37" ht="90" customHeight="1">
      <c r="A37" s="13" t="n">
        <v>36</v>
      </c>
      <c r="B37" s="14" t="inlineStr">
        <is>
          <t>Decision workflow</t>
        </is>
      </c>
      <c r="C37" s="15" t="inlineStr">
        <is>
          <t>Credit score cannot be changed after referral by the officer</t>
        </is>
      </c>
      <c r="D37" s="15" t="inlineStr">
        <is>
          <t>Refer a file, then as officer try to change the score.</t>
        </is>
      </c>
      <c r="E37" s="15" t="inlineStr">
        <is>
          <t>409; only the underwriter can change it while the file is referred.</t>
        </is>
      </c>
      <c r="F37" s="15" t="inlineStr">
        <is>
          <t>The officer must not alter what the underwriter is judging.</t>
        </is>
      </c>
      <c r="G37" s="18" t="inlineStr">
        <is>
          <t>Yes — unit tests and mock API</t>
        </is>
      </c>
    </row>
    <row r="38" ht="90" customHeight="1">
      <c r="A38" s="13" t="n">
        <v>37</v>
      </c>
      <c r="B38" s="14" t="inlineStr">
        <is>
          <t>Decision workflow</t>
        </is>
      </c>
      <c r="C38" s="15" t="inlineStr">
        <is>
          <t>Borrower never sees the credit score, audit trail or exception rationale</t>
        </is>
      </c>
      <c r="D38" s="15" t="inlineStr">
        <is>
          <t>Approve a file as an exception, then fetch it as the borrower.</t>
        </is>
      </c>
      <c r="E38" s="15" t="inlineStr">
        <is>
          <t>Only the outcome and the conditions are returned; no score, history, waived parameters or relationship note.</t>
        </is>
      </c>
      <c r="F38" s="15" t="inlineStr">
        <is>
          <t>Internal rationale and a borrower's credit data must stay with bank staff.</t>
        </is>
      </c>
      <c r="G38" s="18" t="inlineStr">
        <is>
          <t>Yes — unit tests on the real functions and mock API</t>
        </is>
      </c>
    </row>
    <row r="39" ht="90" customHeight="1">
      <c r="A39" s="13" t="n">
        <v>38</v>
      </c>
      <c r="B39" s="14" t="inlineStr">
        <is>
          <t>Decision workflow</t>
        </is>
      </c>
      <c r="C39" s="15" t="inlineStr">
        <is>
          <t>Documents are locked while a file is referred or decided</t>
        </is>
      </c>
      <c r="D39" s="15" t="inlineStr">
        <is>
          <t>Refer a file, then as the borrower try to upload or delete a document.</t>
        </is>
      </c>
      <c r="E39" s="15" t="inlineStr">
        <is>
          <t>409 with the reason; the underwriter can still preview files but not change them.</t>
        </is>
      </c>
      <c r="F39" s="15" t="inlineStr">
        <is>
          <t>The documents are the record the decision rests on.</t>
        </is>
      </c>
      <c r="G39" s="18" t="inlineStr">
        <is>
          <t>Not yet — implemented in code; needs a live test on real MongoDB</t>
        </is>
      </c>
    </row>
    <row r="40" ht="90" customHeight="1">
      <c r="A40" s="13" t="n">
        <v>39</v>
      </c>
      <c r="B40" s="14" t="inlineStr">
        <is>
          <t>Decision workflow</t>
        </is>
      </c>
      <c r="C40" s="15" t="inlineStr">
        <is>
          <t>Underwriter login works and cannot be self-registered</t>
        </is>
      </c>
      <c r="D40" s="15" t="inlineStr">
        <is>
          <t>Run npm run reset, sign in as underwriter@loanlens.demo, then try to register with role underwriter.</t>
        </is>
      </c>
      <c r="E40" s="15" t="inlineStr">
        <is>
          <t>Login succeeds with the Underwriter portal heading; registration with that role returns 400.</t>
        </is>
      </c>
      <c r="F40" s="15" t="inlineStr">
        <is>
          <t>An approval authority must not be creatable by anyone.</t>
        </is>
      </c>
      <c r="G40" s="18" t="inlineStr">
        <is>
          <t>Not yet — needs a live test on real MongoDB</t>
        </is>
      </c>
    </row>
    <row r="41" ht="90" customHeight="1">
      <c r="A41" s="13" t="n">
        <v>40</v>
      </c>
      <c r="B41" s="14" t="inlineStr">
        <is>
          <t>Identity and credit</t>
        </is>
      </c>
      <c r="C41" s="15" t="inlineStr">
        <is>
          <t>Clean borrower (Priya Nair) passes everything</t>
        </is>
      </c>
      <c r="D41" s="15" t="inlineStr">
        <is>
          <t>Log in as the loan officer, open Priya Nair &gt; Decision, run the identity and credit checks.</t>
        </is>
      </c>
      <c r="E41" s="15" t="inlineStr">
        <is>
          <t>Identity verified, sanctions clear, score 742; every parameter is Met and Approve is enabled.</t>
        </is>
      </c>
      <c r="F41" s="15" t="inlineStr">
        <is>
          <t>The happy path the other stories are compared against.</t>
        </is>
      </c>
      <c r="G41" s="18" t="inlineStr">
        <is>
          <t>Yes — unit test on the real seed data; not on real MongoDB</t>
        </is>
      </c>
    </row>
    <row r="42" ht="90" customHeight="1">
      <c r="A42" s="13" t="n">
        <v>41</v>
      </c>
      <c r="B42" s="14" t="inlineStr">
        <is>
          <t>Identity and credit</t>
        </is>
      </c>
      <c r="C42" s="15" t="inlineStr">
        <is>
          <t>Low credit score (Arjun Mehta) routes to the exception path</t>
        </is>
      </c>
      <c r="D42" s="15" t="inlineStr">
        <is>
          <t>Run the checks on Arjun Mehta.</t>
        </is>
      </c>
      <c r="E42" s="15" t="inlineStr">
        <is>
          <t>Score 598 vs 620: credit score is Not Met, Approve is disabled, Refer to underwriter is enabled.</t>
        </is>
      </c>
      <c r="F42" s="15" t="inlineStr">
        <is>
          <t>Shows the bank can lend outside its parameters, but only through a named senior role.</t>
        </is>
      </c>
      <c r="G42" s="18" t="inlineStr">
        <is>
          <t>Yes — unit test on the real seed data; not on real MongoDB</t>
        </is>
      </c>
    </row>
    <row r="43" ht="90" customHeight="1">
      <c r="A43" s="13" t="n">
        <v>42</v>
      </c>
      <c r="B43" s="14" t="inlineStr">
        <is>
          <t>Identity and credit</t>
        </is>
      </c>
      <c r="C43" s="15" t="inlineStr">
        <is>
          <t>SSN that belongs to a different person (Rohan Desai) fails identity</t>
        </is>
      </c>
      <c r="D43" s="15" t="inlineStr">
        <is>
          <t>Run the checks on Rohan Desai.</t>
        </is>
      </c>
      <c r="E43" s="15" t="inlineStr">
        <is>
          <t>Identity Failed, credit report Skipped, parameter Not Met, no referral possible. The other person is never named.</t>
        </is>
      </c>
      <c r="F43" s="15" t="inlineStr">
        <is>
          <t>Catches a mistyped, stolen or synthetic identity even when the documents look perfect.</t>
        </is>
      </c>
      <c r="G43" s="18" t="inlineStr">
        <is>
          <t>Yes — unit test; also previewed in the browser against a mock API</t>
        </is>
      </c>
    </row>
    <row r="44" ht="90" customHeight="1">
      <c r="A44" s="13" t="n">
        <v>43</v>
      </c>
      <c r="B44" s="14" t="inlineStr">
        <is>
          <t>Identity and credit</t>
        </is>
      </c>
      <c r="C44" s="15" t="inlineStr">
        <is>
          <t>Expired driver licence (Meera Iyer) is rejected on upload</t>
        </is>
      </c>
      <c r="D44" s="15" t="inlineStr">
        <is>
          <t>Open Meera Iyer &gt; Action Needed (no simulation involved).</t>
        </is>
      </c>
      <c r="E44" s="15" t="inlineStr">
        <is>
          <t>Drivers License shows an "ID expiry" mismatch with a Re-upload button; the bureau result itself is clean.</t>
        </is>
      </c>
      <c r="F44" s="15" t="inlineStr">
        <is>
          <t>A real document check that works on any upload.</t>
        </is>
      </c>
      <c r="G44" s="18" t="inlineStr">
        <is>
          <t>Yes — unit test; also previewed in the browser against a mock API</t>
        </is>
      </c>
    </row>
    <row r="45" ht="90" customHeight="1">
      <c r="A45" s="13" t="n">
        <v>44</v>
      </c>
      <c r="B45" s="14" t="inlineStr">
        <is>
          <t>Identity and credit</t>
        </is>
      </c>
      <c r="C45" s="15" t="inlineStr">
        <is>
          <t>Borrower with no credit history (Kavya Reddy) cannot proceed automatically</t>
        </is>
      </c>
      <c r="D45" s="15" t="inlineStr">
        <is>
          <t>Run the checks on Kavya Reddy.</t>
        </is>
      </c>
      <c r="E45" s="15" t="inlineStr">
        <is>
          <t>Credit report says no history (thin file); credit score stays "Needs entry"; neither approval nor referral is possible until a score is entered by hand or the file is declined.</t>
        </is>
      </c>
      <c r="F45" s="15" t="inlineStr">
        <is>
          <t>The system refuses to guess a score it does not have.</t>
        </is>
      </c>
      <c r="G45" s="18" t="inlineStr">
        <is>
          <t>Yes — unit test on the real seed data; not on real MongoDB</t>
        </is>
      </c>
    </row>
    <row r="46" ht="90" customHeight="1">
      <c r="A46" s="13" t="n">
        <v>45</v>
      </c>
      <c r="B46" s="14" t="inlineStr">
        <is>
          <t>Identity and credit</t>
        </is>
      </c>
      <c r="C46" s="15" t="inlineStr">
        <is>
          <t>Nothing is approvable until the checks are run</t>
        </is>
      </c>
      <c r="D46" s="15" t="inlineStr">
        <is>
          <t>Open any seeded borrower and look at the Decision page before running the checks.</t>
        </is>
      </c>
      <c r="E46" s="15" t="inlineStr">
        <is>
          <t>Identity, sanctions and credit parameters read "Needs entry"; Approve and Refer are disabled.</t>
        </is>
      </c>
      <c r="F46" s="15" t="inlineStr">
        <is>
          <t>Prevents a decision on an unverified identity.</t>
        </is>
      </c>
      <c r="G46" s="18" t="inlineStr">
        <is>
          <t>Yes — unit test; previewed in the browser against a mock API</t>
        </is>
      </c>
    </row>
  </sheetData>
  <autoFilter ref="A1:G46"/>
  <conditionalFormatting sqref="G2:G46">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6" customWidth="1" min="1" max="1"/>
    <col width="18" customWidth="1" min="2" max="2"/>
    <col width="60" customWidth="1" min="3" max="3"/>
    <col width="52" customWidth="1" min="4" max="4"/>
    <col width="16" customWidth="1" min="5" max="5"/>
  </cols>
  <sheetData>
    <row r="1">
      <c r="A1" s="11" t="inlineStr">
        <is>
          <t>Proposal promise</t>
        </is>
      </c>
      <c r="B1" s="11" t="inlineStr">
        <is>
          <t>Status</t>
        </is>
      </c>
      <c r="C1" s="11" t="inlineStr">
        <is>
          <t>What exists today</t>
        </is>
      </c>
      <c r="D1" s="11" t="inlineStr">
        <is>
          <t>Gap / next step</t>
        </is>
      </c>
      <c r="E1" s="11" t="inlineStr">
        <is>
          <t>Tracker section</t>
        </is>
      </c>
    </row>
    <row r="2">
      <c r="A2" s="15" t="inlineStr">
        <is>
          <t>Extract data and cross-verify name, SSN, income, address</t>
        </is>
      </c>
      <c r="B2" s="15" t="inlineStr">
        <is>
          <t>Built, with gaps</t>
        </is>
      </c>
      <c r="C2" s="15" t="inlineStr">
        <is>
          <t>Name, income, employer, SSN last-4, business name, revenue, plus cross-document deposit and payroll-math checks</t>
        </is>
      </c>
      <c r="D2" s="15" t="inlineStr">
        <is>
          <t>Address is not compared; SSN is last-4 only</t>
        </is>
      </c>
      <c r="E2" s="15" t="inlineStr">
        <is>
          <t>5, 19</t>
        </is>
      </c>
    </row>
    <row r="3">
      <c r="A3" s="15" t="inlineStr">
        <is>
          <t>Confidence scoring with human-in-the-loop routing</t>
        </is>
      </c>
      <c r="B3" s="15" t="inlineStr">
        <is>
          <t>Built</t>
        </is>
      </c>
      <c r="C3" s="15" t="inlineStr">
        <is>
          <t>Low-confidence extractions are flagged for review, never guessed</t>
        </is>
      </c>
      <c r="D3" s="15" t="inlineStr">
        <is>
          <t>—</t>
        </is>
      </c>
      <c r="E3" s="15" t="inlineStr">
        <is>
          <t>4</t>
        </is>
      </c>
    </row>
    <row r="4">
      <c r="A4" s="15" t="inlineStr">
        <is>
          <t>Exceptions dashboard</t>
        </is>
      </c>
      <c r="B4" s="15" t="inlineStr">
        <is>
          <t>Built</t>
        </is>
      </c>
      <c r="C4" s="15" t="inlineStr">
        <is>
          <t>Action Needed list and page; flags show in the application list</t>
        </is>
      </c>
      <c r="D4" s="15" t="inlineStr">
        <is>
          <t>—</t>
        </is>
      </c>
      <c r="E4" s="15" t="inlineStr">
        <is>
          <t>13</t>
        </is>
      </c>
    </row>
    <row r="5">
      <c r="A5" s="15" t="inlineStr">
        <is>
          <t>Officer is the final approver</t>
        </is>
      </c>
      <c r="B5" s="15" t="inlineStr">
        <is>
          <t>Built</t>
        </is>
      </c>
      <c r="C5" s="15" t="inlineStr">
        <is>
          <t>Loan officer and underwriter decision workflow with an audit trail</t>
        </is>
      </c>
      <c r="D5" s="15" t="inlineStr">
        <is>
          <t>Notifications, appeals, real minimum credit scores</t>
        </is>
      </c>
      <c r="E5" s="15" t="inlineStr">
        <is>
          <t>18</t>
        </is>
      </c>
    </row>
    <row r="6">
      <c r="A6" s="15" t="inlineStr">
        <is>
          <t>RAG Q&amp;A with citations for officers and borrowers (web)</t>
        </is>
      </c>
      <c r="B6" s="15" t="inlineStr">
        <is>
          <t>Built, not true RAG</t>
        </is>
      </c>
      <c r="C6" s="15" t="inlineStr">
        <is>
          <t>Policy corpus grounded answers with citations; chat also navigates to pages</t>
        </is>
      </c>
      <c r="D6" s="15" t="inlineStr">
        <is>
          <t>Vector search and per-tenant retrieval; policy page with highlighting</t>
        </is>
      </c>
      <c r="E6" s="15" t="inlineStr">
        <is>
          <t>6, 20</t>
        </is>
      </c>
    </row>
    <row r="7">
      <c r="A7" s="15" t="inlineStr">
        <is>
          <t>RAG on WhatsApp</t>
        </is>
      </c>
      <c r="B7" s="15" t="inlineStr">
        <is>
          <t>Not started</t>
        </is>
      </c>
      <c r="C7" s="15" t="inlineStr">
        <is>
          <t>—</t>
        </is>
      </c>
      <c r="D7" s="15" t="inlineStr">
        <is>
          <t>Webhook, routing into the assistant, outbound replies</t>
        </is>
      </c>
      <c r="E7" s="15" t="inlineStr">
        <is>
          <t>9</t>
        </is>
      </c>
    </row>
    <row r="8">
      <c r="A8" s="15" t="inlineStr">
        <is>
          <t>Missing-document detection with one-click borrower email</t>
        </is>
      </c>
      <c r="B8" s="15" t="inlineStr">
        <is>
          <t>Detection built</t>
        </is>
      </c>
      <c r="C8" s="15" t="inlineStr">
        <is>
          <t>In-app self-service re-upload replaces the email</t>
        </is>
      </c>
      <c r="D8" s="15" t="inlineStr">
        <is>
          <t>Email notification not built</t>
        </is>
      </c>
      <c r="E8" s="15" t="inlineStr">
        <is>
          <t>13, 19</t>
        </is>
      </c>
    </row>
    <row r="9">
      <c r="A9" s="15" t="inlineStr">
        <is>
          <t>"Binder dump": auto-split and classify large mixed PDFs (200–500 pages)</t>
        </is>
      </c>
      <c r="B9" s="15" t="inlineStr">
        <is>
          <t>Not built</t>
        </is>
      </c>
      <c r="C9" s="15" t="inlineStr">
        <is>
          <t>One upload is one document</t>
        </is>
      </c>
      <c r="D9" s="15" t="inlineStr">
        <is>
          <t>Page splitting, page-level classification, progress</t>
        </is>
      </c>
      <c r="E9" s="15" t="inlineStr">
        <is>
          <t>19</t>
        </is>
      </c>
    </row>
    <row r="10">
      <c r="A10" s="15" t="inlineStr">
        <is>
          <t>TILA / RESPA disclosure-timing checks</t>
        </is>
      </c>
      <c r="B10" s="15" t="inlineStr">
        <is>
          <t>Not built</t>
        </is>
      </c>
      <c r="C10" s="15" t="inlineStr">
        <is>
          <t>—</t>
        </is>
      </c>
      <c r="D10" s="15" t="inlineStr">
        <is>
          <t>Rules and data model</t>
        </is>
      </c>
      <c r="E10" s="15" t="inlineStr">
        <is>
          <t>19</t>
        </is>
      </c>
    </row>
    <row r="11">
      <c r="A11" s="15" t="inlineStr">
        <is>
          <t>MISMO JSON output for LOS integration</t>
        </is>
      </c>
      <c r="B11" s="15" t="inlineStr">
        <is>
          <t>Not built</t>
        </is>
      </c>
      <c r="C11" s="15" t="inlineStr">
        <is>
          <t>—</t>
        </is>
      </c>
      <c r="D11" s="15" t="inlineStr">
        <is>
          <t>Phase 3 of the submission</t>
        </is>
      </c>
      <c r="E11" s="15" t="inlineStr">
        <is>
          <t>19</t>
        </is>
      </c>
    </row>
    <row r="12">
      <c r="A12" s="15" t="inlineStr">
        <is>
          <t>Complete audit trail of every extraction and decision</t>
        </is>
      </c>
      <c r="B12" s="15" t="inlineStr">
        <is>
          <t>Partial</t>
        </is>
      </c>
      <c r="C12" s="15" t="inlineStr">
        <is>
          <t>Decisions, referrals and credit-score entries are logged; superseded documents kept</t>
        </is>
      </c>
      <c r="D12" s="15" t="inlineStr">
        <is>
          <t>Log uploads and extractions</t>
        </is>
      </c>
      <c r="E12" s="15" t="inlineStr">
        <is>
          <t>18, 19</t>
        </is>
      </c>
    </row>
    <row r="13">
      <c r="A13" s="15" t="inlineStr">
        <is>
          <t>GLBA / SOC 2-aligned controls</t>
        </is>
      </c>
      <c r="B13" s="15" t="inlineStr">
        <is>
          <t>Partial</t>
        </is>
      </c>
      <c r="C13" s="15" t="inlineStr">
        <is>
          <t>Role-based access; private file storage (R2)</t>
        </is>
      </c>
      <c r="D13" s="15" t="inlineStr">
        <is>
          <t>Encryption at rest, zero-retention LLM terms, access logging</t>
        </is>
      </c>
      <c r="E13" s="15" t="inlineStr">
        <is>
          <t>19</t>
        </is>
      </c>
    </row>
    <row r="14">
      <c r="A14" s="15" t="inlineStr">
        <is>
          <t>Multi-tenant SaaS, per-bank policy indexing</t>
        </is>
      </c>
      <c r="B14" s="15" t="inlineStr">
        <is>
          <t>Not built</t>
        </is>
      </c>
      <c r="C14" s="15" t="inlineStr">
        <is>
          <t>Single bank</t>
        </is>
      </c>
      <c r="D14" s="15" t="inlineStr">
        <is>
          <t>RAG plan phase P2</t>
        </is>
      </c>
      <c r="E14" s="15" t="inlineStr">
        <is>
          <t>19</t>
        </is>
      </c>
    </row>
    <row r="15">
      <c r="A15" s="15" t="inlineStr">
        <is>
          <t>Residential / consumer loans with 1003 / URLA</t>
        </is>
      </c>
      <c r="B15" s="15" t="inlineStr">
        <is>
          <t>Different scope</t>
        </is>
      </c>
      <c r="C15" s="15" t="inlineStr">
        <is>
          <t>Auto, personal and small-business loans</t>
        </is>
      </c>
      <c r="D15" s="15" t="inlineStr">
        <is>
          <t>State the scope change in the pitch</t>
        </is>
      </c>
      <c r="E15" s="15" t="inlineStr">
        <is>
          <t>12</t>
        </is>
      </c>
    </row>
    <row r="16">
      <c r="A16" s="15" t="inlineStr">
        <is>
          <t>Azure Document AI / FastAPI / React / vector DB</t>
        </is>
      </c>
      <c r="B16" s="15" t="inlineStr">
        <is>
          <t>Different stack</t>
        </is>
      </c>
      <c r="C16" s="15" t="inlineStr">
        <is>
          <t>Claude vision, Node / Express, Expo, no vector DB yet</t>
        </is>
      </c>
      <c r="D16" s="15" t="inlineStr">
        <is>
          <t>Document the deviation; confirm approved cloud with ThoughtFocus (Rovo Q01)</t>
        </is>
      </c>
      <c r="E16" s="15" t="inlineStr">
        <is>
          <t>12</t>
        </is>
      </c>
    </row>
    <row r="17">
      <c r="A17" s="15" t="inlineStr">
        <is>
          <t>Added beyond the proposal</t>
        </is>
      </c>
      <c r="B17" s="15" t="inlineStr">
        <is>
          <t>Extra</t>
        </is>
      </c>
      <c r="C17" s="15" t="inlineStr">
        <is>
          <t>Small-business vertical, self-service live exceptions, payroll-math and deposit checks, affordability warning, underwriter exception workflow, mock-AI mode</t>
        </is>
      </c>
      <c r="D17" s="15" t="inlineStr">
        <is>
          <t>Lead the pitch with the exception and fraud-signal story</t>
        </is>
      </c>
      <c r="E17" s="15" t="inlineStr">
        <is>
          <t>5, 13, 18</t>
        </is>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2026-09-17T07:32:19Z</dcterms:created>
  <dcterms:modified xmlns:dcterms="http://purl.org/dc/terms/" xmlns:xsi="http://www.w3.org/2001/XMLSchema-instance" xsi:type="dcterms:W3CDTF">2026-10-24T06:03:29Z</dcterms:modified>
</cp:coreProperties>
</file>