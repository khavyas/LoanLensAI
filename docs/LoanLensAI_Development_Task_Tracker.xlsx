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</sheets>
  <definedNames>
    <definedName name="_xlnm._FilterDatabase" localSheetId="1" hidden="1">'Tasks'!$A$1:$F$88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667085"/>
      <sz val="10"/>
    </font>
    <font>
      <name val="Arial"/>
      <color rgb="00667085"/>
      <sz val="9"/>
    </font>
    <font>
      <name val="Arial"/>
      <b val="1"/>
      <color rgb="000A2540"/>
      <sz val="22"/>
    </font>
    <font>
      <name val="Arial"/>
      <b val="1"/>
      <color rgb="00155EEF"/>
      <sz val="14"/>
    </font>
    <font>
      <name val="Arial"/>
      <color rgb="00667085"/>
      <sz val="11"/>
    </font>
    <font>
      <name val="Arial"/>
      <b val="1"/>
      <color rgb="000A2540"/>
      <sz val="12"/>
    </font>
    <font>
      <name val="Arial"/>
      <i val="1"/>
      <color rgb="00667085"/>
      <sz val="10"/>
    </font>
    <font>
      <name val="Arial"/>
      <b val="1"/>
      <color rgb="00FFFFFF"/>
      <sz val="10"/>
    </font>
    <font>
      <name val="Arial"/>
      <b val="1"/>
      <color rgb="000A2540"/>
      <sz val="14"/>
    </font>
  </fonts>
  <fills count="3">
    <fill>
      <patternFill/>
    </fill>
    <fill>
      <patternFill patternType="gray125"/>
    </fill>
    <fill>
      <patternFill patternType="solid">
        <fgColor rgb="000A2540"/>
      </patternFill>
    </fill>
  </fills>
  <borders count="2">
    <border>
      <left/>
      <right/>
      <top/>
      <bottom/>
      <diagonal/>
    </border>
    <border>
      <left style="thin">
        <color rgb="00E4E9F0"/>
      </left>
      <right style="thin">
        <color rgb="00E4E9F0"/>
      </right>
      <top style="thin">
        <color rgb="00E4E9F0"/>
      </top>
      <bottom style="thin">
        <color rgb="00E4E9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left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27A48"/>
        <sz val="10"/>
      </font>
      <fill>
        <patternFill patternType="solid">
          <fgColor rgb="00DCFCE7"/>
        </patternFill>
      </fill>
    </dxf>
    <dxf>
      <font>
        <name val="Arial"/>
        <b val="1"/>
        <color rgb="00B45309"/>
        <sz val="10"/>
      </font>
      <fill>
        <patternFill patternType="solid">
          <fgColor rgb="00FEF3C7"/>
        </patternFill>
      </fill>
    </dxf>
    <dxf>
      <font>
        <name val="Arial"/>
        <b val="1"/>
        <color rgb="00475467"/>
        <sz val="10"/>
      </font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LoanLens AI</t>
        </is>
      </c>
    </row>
    <row r="2">
      <c r="A2" s="2" t="inlineStr">
        <is>
          <t>Development Task Tracker</t>
        </is>
      </c>
    </row>
    <row r="4">
      <c r="A4" s="3" t="inlineStr">
        <is>
          <t>FocusNext 2026 — Team "RAG to Riches"</t>
        </is>
      </c>
    </row>
    <row r="5">
      <c r="A5" s="3" t="inlineStr">
        <is>
          <t>Khavya Sakthivel &amp; Sukumar Dhandapani (Development) · Souvik Das (QA)</t>
        </is>
      </c>
    </row>
    <row r="6">
      <c r="A6" s="3" t="inlineStr">
        <is>
          <t>Prepared 2026-09-11 · Target: basic MVP in 4 weeks (Week 1 core build, Weeks 2-4 hardening &amp; refinement)</t>
        </is>
      </c>
    </row>
    <row r="8">
      <c r="A8" s="4" t="inlineStr">
        <is>
          <t>How to use this tracker</t>
        </is>
      </c>
    </row>
    <row r="9" ht="60" customHeight="1">
      <c r="A9" s="5" t="inlineStr">
        <is>
          <t>Open the Tasks tab. Filter or sort by Section/Status, put your name in the Owner column for anything you're picking up, and update Status as you go. Sections 13-15 are new feature ideas from pain-point research (Rovo AI, 2026-09-11) — not yet scoped into a sprint, listed here so nothing gets lost; tackle them after the core MVP (Sections 1-12) is demo-ready.</t>
        </is>
      </c>
    </row>
    <row r="11">
      <c r="A11" s="4" t="inlineStr">
        <is>
          <t>Overall progress</t>
        </is>
      </c>
    </row>
    <row r="12">
      <c r="A12" s="6" t="inlineStr">
        <is>
          <t>Completed</t>
        </is>
      </c>
      <c r="B12" s="6" t="inlineStr">
        <is>
          <t>In Progress</t>
        </is>
      </c>
      <c r="C12" s="6" t="inlineStr">
        <is>
          <t>Not Started</t>
        </is>
      </c>
      <c r="D12" s="6" t="inlineStr">
        <is>
          <t>Total</t>
        </is>
      </c>
    </row>
    <row r="13">
      <c r="A13" s="7">
        <f>COUNTIF(Tasks!$D$2:$D$88,"Completed")</f>
        <v/>
      </c>
      <c r="B13" s="7">
        <f>COUNTIF(Tasks!$D$2:$D$88,"In Progress")</f>
        <v/>
      </c>
      <c r="C13" s="7">
        <f>COUNTIF(Tasks!$D$2:$D$88,"Not Started")</f>
        <v/>
      </c>
      <c r="D13" s="7">
        <f>SUM(A13:C13)</f>
        <v/>
      </c>
    </row>
    <row r="16">
      <c r="A16" s="4" t="inlineStr">
        <is>
          <t>By section</t>
        </is>
      </c>
    </row>
    <row r="17">
      <c r="A17" s="8" t="inlineStr">
        <is>
          <t>Section</t>
        </is>
      </c>
      <c r="B17" s="6" t="inlineStr">
        <is>
          <t>Completed</t>
        </is>
      </c>
      <c r="C17" s="6" t="inlineStr">
        <is>
          <t>In Progress</t>
        </is>
      </c>
      <c r="D17" s="6" t="inlineStr">
        <is>
          <t>Not Started</t>
        </is>
      </c>
      <c r="E17" s="6" t="inlineStr">
        <is>
          <t>Total</t>
        </is>
      </c>
    </row>
    <row r="18">
      <c r="A18" s="9" t="inlineStr">
        <is>
          <t>1. Environment &amp; Scaffolding</t>
        </is>
      </c>
      <c r="B18" s="10">
        <f>COUNTIFS(Tasks!$B$2:$B$88,$A18,Tasks!$D$2:$D$88,"Completed")</f>
        <v/>
      </c>
      <c r="C18" s="10">
        <f>COUNTIFS(Tasks!$B$2:$B$88,$A18,Tasks!$D$2:$D$88,"In Progress")</f>
        <v/>
      </c>
      <c r="D18" s="10">
        <f>COUNTIFS(Tasks!$B$2:$B$88,$A18,Tasks!$D$2:$D$88,"Not Started")</f>
        <v/>
      </c>
      <c r="E18" s="10">
        <f>SUM(B18:D18)</f>
        <v/>
      </c>
    </row>
    <row r="19">
      <c r="A19" s="9" t="inlineStr">
        <is>
          <t>2. Authentication &amp; Access Control</t>
        </is>
      </c>
      <c r="B19" s="10">
        <f>COUNTIFS(Tasks!$B$2:$B$88,$A19,Tasks!$D$2:$D$88,"Completed")</f>
        <v/>
      </c>
      <c r="C19" s="10">
        <f>COUNTIFS(Tasks!$B$2:$B$88,$A19,Tasks!$D$2:$D$88,"In Progress")</f>
        <v/>
      </c>
      <c r="D19" s="10">
        <f>COUNTIFS(Tasks!$B$2:$B$88,$A19,Tasks!$D$2:$D$88,"Not Started")</f>
        <v/>
      </c>
      <c r="E19" s="10">
        <f>SUM(B19:D19)</f>
        <v/>
      </c>
    </row>
    <row r="20">
      <c r="A20" s="9" t="inlineStr">
        <is>
          <t>3. Data Model &amp; Database (MongoDB)</t>
        </is>
      </c>
      <c r="B20" s="10">
        <f>COUNTIFS(Tasks!$B$2:$B$88,$A20,Tasks!$D$2:$D$88,"Completed")</f>
        <v/>
      </c>
      <c r="C20" s="10">
        <f>COUNTIFS(Tasks!$B$2:$B$88,$A20,Tasks!$D$2:$D$88,"In Progress")</f>
        <v/>
      </c>
      <c r="D20" s="10">
        <f>COUNTIFS(Tasks!$B$2:$B$88,$A20,Tasks!$D$2:$D$88,"Not Started")</f>
        <v/>
      </c>
      <c r="E20" s="10">
        <f>SUM(B20:D20)</f>
        <v/>
      </c>
    </row>
    <row r="21">
      <c r="A21" s="9" t="inlineStr">
        <is>
          <t>4. Document Intelligence (OCR / AI Extraction)</t>
        </is>
      </c>
      <c r="B21" s="10">
        <f>COUNTIFS(Tasks!$B$2:$B$88,$A21,Tasks!$D$2:$D$88,"Completed")</f>
        <v/>
      </c>
      <c r="C21" s="10">
        <f>COUNTIFS(Tasks!$B$2:$B$88,$A21,Tasks!$D$2:$D$88,"In Progress")</f>
        <v/>
      </c>
      <c r="D21" s="10">
        <f>COUNTIFS(Tasks!$B$2:$B$88,$A21,Tasks!$D$2:$D$88,"Not Started")</f>
        <v/>
      </c>
      <c r="E21" s="10">
        <f>SUM(B21:D21)</f>
        <v/>
      </c>
    </row>
    <row r="22">
      <c r="A22" s="9" t="inlineStr">
        <is>
          <t>5. Cross-Verification Engine</t>
        </is>
      </c>
      <c r="B22" s="10">
        <f>COUNTIFS(Tasks!$B$2:$B$88,$A22,Tasks!$D$2:$D$88,"Completed")</f>
        <v/>
      </c>
      <c r="C22" s="10">
        <f>COUNTIFS(Tasks!$B$2:$B$88,$A22,Tasks!$D$2:$D$88,"In Progress")</f>
        <v/>
      </c>
      <c r="D22" s="10">
        <f>COUNTIFS(Tasks!$B$2:$B$88,$A22,Tasks!$D$2:$D$88,"Not Started")</f>
        <v/>
      </c>
      <c r="E22" s="10">
        <f>SUM(B22:D22)</f>
        <v/>
      </c>
    </row>
    <row r="23">
      <c r="A23" s="9" t="inlineStr">
        <is>
          <t>6. RAG Assistant (Conversational Q&amp;A)</t>
        </is>
      </c>
      <c r="B23" s="10">
        <f>COUNTIFS(Tasks!$B$2:$B$88,$A23,Tasks!$D$2:$D$88,"Completed")</f>
        <v/>
      </c>
      <c r="C23" s="10">
        <f>COUNTIFS(Tasks!$B$2:$B$88,$A23,Tasks!$D$2:$D$88,"In Progress")</f>
        <v/>
      </c>
      <c r="D23" s="10">
        <f>COUNTIFS(Tasks!$B$2:$B$88,$A23,Tasks!$D$2:$D$88,"Not Started")</f>
        <v/>
      </c>
      <c r="E23" s="10">
        <f>SUM(B23:D23)</f>
        <v/>
      </c>
    </row>
    <row r="24">
      <c r="A24" s="9" t="inlineStr">
        <is>
          <t>7. Frontend — Screens &amp; Navigation</t>
        </is>
      </c>
      <c r="B24" s="10">
        <f>COUNTIFS(Tasks!$B$2:$B$88,$A24,Tasks!$D$2:$D$88,"Completed")</f>
        <v/>
      </c>
      <c r="C24" s="10">
        <f>COUNTIFS(Tasks!$B$2:$B$88,$A24,Tasks!$D$2:$D$88,"In Progress")</f>
        <v/>
      </c>
      <c r="D24" s="10">
        <f>COUNTIFS(Tasks!$B$2:$B$88,$A24,Tasks!$D$2:$D$88,"Not Started")</f>
        <v/>
      </c>
      <c r="E24" s="10">
        <f>SUM(B24:D24)</f>
        <v/>
      </c>
    </row>
    <row r="25">
      <c r="A25" s="9" t="inlineStr">
        <is>
          <t>8. Synthetic Demo Data</t>
        </is>
      </c>
      <c r="B25" s="10">
        <f>COUNTIFS(Tasks!$B$2:$B$88,$A25,Tasks!$D$2:$D$88,"Completed")</f>
        <v/>
      </c>
      <c r="C25" s="10">
        <f>COUNTIFS(Tasks!$B$2:$B$88,$A25,Tasks!$D$2:$D$88,"In Progress")</f>
        <v/>
      </c>
      <c r="D25" s="10">
        <f>COUNTIFS(Tasks!$B$2:$B$88,$A25,Tasks!$D$2:$D$88,"Not Started")</f>
        <v/>
      </c>
      <c r="E25" s="10">
        <f>SUM(B25:D25)</f>
        <v/>
      </c>
    </row>
    <row r="26">
      <c r="A26" s="9" t="inlineStr">
        <is>
          <t>9. WhatsApp Integration</t>
        </is>
      </c>
      <c r="B26" s="10">
        <f>COUNTIFS(Tasks!$B$2:$B$88,$A26,Tasks!$D$2:$D$88,"Completed")</f>
        <v/>
      </c>
      <c r="C26" s="10">
        <f>COUNTIFS(Tasks!$B$2:$B$88,$A26,Tasks!$D$2:$D$88,"In Progress")</f>
        <v/>
      </c>
      <c r="D26" s="10">
        <f>COUNTIFS(Tasks!$B$2:$B$88,$A26,Tasks!$D$2:$D$88,"Not Started")</f>
        <v/>
      </c>
      <c r="E26" s="10">
        <f>SUM(B26:D26)</f>
        <v/>
      </c>
    </row>
    <row r="27">
      <c r="A27" s="9" t="inlineStr">
        <is>
          <t>10. Hosting &amp; Deployment</t>
        </is>
      </c>
      <c r="B27" s="10">
        <f>COUNTIFS(Tasks!$B$2:$B$88,$A27,Tasks!$D$2:$D$88,"Completed")</f>
        <v/>
      </c>
      <c r="C27" s="10">
        <f>COUNTIFS(Tasks!$B$2:$B$88,$A27,Tasks!$D$2:$D$88,"In Progress")</f>
        <v/>
      </c>
      <c r="D27" s="10">
        <f>COUNTIFS(Tasks!$B$2:$B$88,$A27,Tasks!$D$2:$D$88,"Not Started")</f>
        <v/>
      </c>
      <c r="E27" s="10">
        <f>SUM(B27:D27)</f>
        <v/>
      </c>
    </row>
    <row r="28">
      <c r="A28" s="9" t="inlineStr">
        <is>
          <t>11. Testing &amp; QA</t>
        </is>
      </c>
      <c r="B28" s="10">
        <f>COUNTIFS(Tasks!$B$2:$B$88,$A28,Tasks!$D$2:$D$88,"Completed")</f>
        <v/>
      </c>
      <c r="C28" s="10">
        <f>COUNTIFS(Tasks!$B$2:$B$88,$A28,Tasks!$D$2:$D$88,"In Progress")</f>
        <v/>
      </c>
      <c r="D28" s="10">
        <f>COUNTIFS(Tasks!$B$2:$B$88,$A28,Tasks!$D$2:$D$88,"Not Started")</f>
        <v/>
      </c>
      <c r="E28" s="10">
        <f>SUM(B28:D28)</f>
        <v/>
      </c>
    </row>
    <row r="29">
      <c r="A29" s="9" t="inlineStr">
        <is>
          <t>12. Documentation</t>
        </is>
      </c>
      <c r="B29" s="10">
        <f>COUNTIFS(Tasks!$B$2:$B$88,$A29,Tasks!$D$2:$D$88,"Completed")</f>
        <v/>
      </c>
      <c r="C29" s="10">
        <f>COUNTIFS(Tasks!$B$2:$B$88,$A29,Tasks!$D$2:$D$88,"In Progress")</f>
        <v/>
      </c>
      <c r="D29" s="10">
        <f>COUNTIFS(Tasks!$B$2:$B$88,$A29,Tasks!$D$2:$D$88,"Not Started")</f>
        <v/>
      </c>
      <c r="E29" s="10">
        <f>SUM(B29:D29)</f>
        <v/>
      </c>
    </row>
    <row r="30">
      <c r="A30" s="9" t="inlineStr">
        <is>
          <t>13. Real-Time Document Validation &amp; Self-Service Re-Request (DocuSense)</t>
        </is>
      </c>
      <c r="B30" s="10">
        <f>COUNTIFS(Tasks!$B$2:$B$88,$A30,Tasks!$D$2:$D$88,"Completed")</f>
        <v/>
      </c>
      <c r="C30" s="10">
        <f>COUNTIFS(Tasks!$B$2:$B$88,$A30,Tasks!$D$2:$D$88,"In Progress")</f>
        <v/>
      </c>
      <c r="D30" s="10">
        <f>COUNTIFS(Tasks!$B$2:$B$88,$A30,Tasks!$D$2:$D$88,"Not Started")</f>
        <v/>
      </c>
      <c r="E30" s="10">
        <f>SUM(B30:D30)</f>
        <v/>
      </c>
    </row>
    <row r="31">
      <c r="A31" s="9" t="inlineStr">
        <is>
          <t>14. Multi-Party &amp; Milestone Tracking (Lending Co-Pilot)</t>
        </is>
      </c>
      <c r="B31" s="10">
        <f>COUNTIFS(Tasks!$B$2:$B$88,$A31,Tasks!$D$2:$D$88,"Completed")</f>
        <v/>
      </c>
      <c r="C31" s="10">
        <f>COUNTIFS(Tasks!$B$2:$B$88,$A31,Tasks!$D$2:$D$88,"In Progress")</f>
        <v/>
      </c>
      <c r="D31" s="10">
        <f>COUNTIFS(Tasks!$B$2:$B$88,$A31,Tasks!$D$2:$D$88,"Not Started")</f>
        <v/>
      </c>
      <c r="E31" s="10">
        <f>SUM(B31:D31)</f>
        <v/>
      </c>
    </row>
    <row r="32">
      <c r="A32" s="9" t="inlineStr">
        <is>
          <t>15. Predictive Servicing (EarlyCare) — Post-MVP</t>
        </is>
      </c>
      <c r="B32" s="10">
        <f>COUNTIFS(Tasks!$B$2:$B$88,$A32,Tasks!$D$2:$D$88,"Completed")</f>
        <v/>
      </c>
      <c r="C32" s="10">
        <f>COUNTIFS(Tasks!$B$2:$B$88,$A32,Tasks!$D$2:$D$88,"In Progress")</f>
        <v/>
      </c>
      <c r="D32" s="10">
        <f>COUNTIFS(Tasks!$B$2:$B$88,$A32,Tasks!$D$2:$D$88,"Not Started")</f>
        <v/>
      </c>
      <c r="E32" s="10">
        <f>SUM(B32:D32)</f>
        <v/>
      </c>
    </row>
  </sheetData>
  <mergeCells count="1">
    <mergeCell ref="A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4" customWidth="1" min="4" max="4"/>
    <col width="14" customWidth="1" min="5" max="5"/>
    <col width="58" customWidth="1" min="6" max="6"/>
  </cols>
  <sheetData>
    <row r="1" ht="22" customHeight="1">
      <c r="A1" s="11" t="inlineStr">
        <is>
          <t>#</t>
        </is>
      </c>
      <c r="B1" s="12" t="inlineStr">
        <is>
          <t>Section</t>
        </is>
      </c>
      <c r="C1" s="12" t="inlineStr">
        <is>
          <t>Task</t>
        </is>
      </c>
      <c r="D1" s="11" t="inlineStr">
        <is>
          <t>Status</t>
        </is>
      </c>
      <c r="E1" s="12" t="inlineStr">
        <is>
          <t>Owner</t>
        </is>
      </c>
      <c r="F1" s="12" t="inlineStr">
        <is>
          <t>Notes</t>
        </is>
      </c>
    </row>
    <row r="2" ht="30" customHeight="1">
      <c r="A2" s="13" t="n">
        <v>1</v>
      </c>
      <c r="B2" s="14" t="inlineStr">
        <is>
          <t>1. Environment &amp; Scaffolding</t>
        </is>
      </c>
      <c r="C2" s="15" t="inlineStr">
        <is>
          <t>Backend scaffold — Express + Mongoose + dotenv + CORS</t>
        </is>
      </c>
      <c r="D2" s="13" t="inlineStr">
        <is>
          <t>Completed</t>
        </is>
      </c>
      <c r="E2" s="16" t="inlineStr"/>
      <c r="F2" s="17" t="inlineStr">
        <is>
          <t>backend/src/index.js</t>
        </is>
      </c>
    </row>
    <row r="3" ht="30" customHeight="1">
      <c r="A3" s="13" t="n">
        <v>2</v>
      </c>
      <c r="B3" s="14" t="inlineStr">
        <is>
          <t>1. Environment &amp; Scaffolding</t>
        </is>
      </c>
      <c r="C3" s="15" t="inlineStr">
        <is>
          <t>Frontend scaffold — Expo React Native app (web-enabled)</t>
        </is>
      </c>
      <c r="D3" s="13" t="inlineStr">
        <is>
          <t>Completed</t>
        </is>
      </c>
      <c r="E3" s="16" t="inlineStr"/>
      <c r="F3" s="17" t="inlineStr">
        <is>
          <t>frontend/App.js</t>
        </is>
      </c>
    </row>
    <row r="4" ht="30" customHeight="1">
      <c r="A4" s="13" t="n">
        <v>3</v>
      </c>
      <c r="B4" s="14" t="inlineStr">
        <is>
          <t>1. Environment &amp; Scaffolding</t>
        </is>
      </c>
      <c r="C4" s="15" t="inlineStr">
        <is>
          <t>Environment variable templates (.env.example)</t>
        </is>
      </c>
      <c r="D4" s="13" t="inlineStr">
        <is>
          <t>Completed</t>
        </is>
      </c>
      <c r="E4" s="16" t="inlineStr"/>
      <c r="F4" s="17" t="inlineStr">
        <is>
          <t>Both backend/ and frontend/</t>
        </is>
      </c>
    </row>
    <row r="5" ht="30" customHeight="1">
      <c r="A5" s="13" t="n">
        <v>4</v>
      </c>
      <c r="B5" s="14" t="inlineStr">
        <is>
          <t>1. Environment &amp; Scaffolding</t>
        </is>
      </c>
      <c r="C5" s="15" t="inlineStr">
        <is>
          <t>Render Blueprint config (backend web service + frontend static site)</t>
        </is>
      </c>
      <c r="D5" s="13" t="inlineStr">
        <is>
          <t>Completed</t>
        </is>
      </c>
      <c r="E5" s="16" t="inlineStr"/>
      <c r="F5" s="17" t="inlineStr">
        <is>
          <t>render.yaml</t>
        </is>
      </c>
    </row>
    <row r="6" ht="30" customHeight="1">
      <c r="A6" s="13" t="n">
        <v>5</v>
      </c>
      <c r="B6" s="14" t="inlineStr">
        <is>
          <t>1. Environment &amp; Scaffolding</t>
        </is>
      </c>
      <c r="C6" s="15" t="inlineStr">
        <is>
          <t>GitHub repo + Codespaces-compatible workflow</t>
        </is>
      </c>
      <c r="D6" s="13" t="inlineStr">
        <is>
          <t>Completed</t>
        </is>
      </c>
      <c r="E6" s="16" t="inlineStr"/>
      <c r="F6" s="17" t="inlineStr">
        <is>
          <t>No local Node needed — README 'No-local-Node workflow'</t>
        </is>
      </c>
    </row>
    <row r="7" ht="30" customHeight="1">
      <c r="A7" s="13" t="n">
        <v>6</v>
      </c>
      <c r="B7" s="14" t="inlineStr">
        <is>
          <t>2. Authentication &amp; Access Control</t>
        </is>
      </c>
      <c r="C7" s="15" t="inlineStr">
        <is>
          <t>JWT login endpoint (POST /auth/login)</t>
        </is>
      </c>
      <c r="D7" s="13" t="inlineStr">
        <is>
          <t>Completed</t>
        </is>
      </c>
      <c r="E7" s="16" t="inlineStr"/>
      <c r="F7" s="17" t="inlineStr">
        <is>
          <t>backend/src/routes/auth.js</t>
        </is>
      </c>
    </row>
    <row r="8" ht="30" customHeight="1">
      <c r="A8" s="13" t="n">
        <v>7</v>
      </c>
      <c r="B8" s="14" t="inlineStr">
        <is>
          <t>2. Authentication &amp; Access Control</t>
        </is>
      </c>
      <c r="C8" s="15" t="inlineStr">
        <is>
          <t>Auth middleware — token verification on protected routes</t>
        </is>
      </c>
      <c r="D8" s="13" t="inlineStr">
        <is>
          <t>Completed</t>
        </is>
      </c>
      <c r="E8" s="16" t="inlineStr"/>
      <c r="F8" s="17" t="inlineStr">
        <is>
          <t>backend/src/middleware/auth.js</t>
        </is>
      </c>
    </row>
    <row r="9" ht="30" customHeight="1">
      <c r="A9" s="13" t="n">
        <v>8</v>
      </c>
      <c r="B9" s="14" t="inlineStr">
        <is>
          <t>2. Authentication &amp; Access Control</t>
        </is>
      </c>
      <c r="C9" s="15" t="inlineStr">
        <is>
          <t>Officer vs. borrower role-based data scoping</t>
        </is>
      </c>
      <c r="D9" s="13" t="inlineStr">
        <is>
          <t>Completed</t>
        </is>
      </c>
      <c r="E9" s="16" t="inlineStr"/>
      <c r="F9" s="17" t="inlineStr">
        <is>
          <t>Officers see all applications; borrowers see only their own — routes/applications.js</t>
        </is>
      </c>
    </row>
    <row r="10" ht="30" customHeight="1">
      <c r="A10" s="13" t="n">
        <v>9</v>
      </c>
      <c r="B10" s="14" t="inlineStr">
        <is>
          <t>2. Authentication &amp; Access Control</t>
        </is>
      </c>
      <c r="C10" s="15" t="inlineStr">
        <is>
          <t>Login screen + session persistence (AsyncStorage)</t>
        </is>
      </c>
      <c r="D10" s="13" t="inlineStr">
        <is>
          <t>Completed</t>
        </is>
      </c>
      <c r="E10" s="16" t="inlineStr"/>
      <c r="F10" s="17" t="inlineStr">
        <is>
          <t>LoginScreen.js, AuthContext.js</t>
        </is>
      </c>
    </row>
    <row r="11" ht="30" customHeight="1">
      <c r="A11" s="13" t="n">
        <v>10</v>
      </c>
      <c r="B11" s="14" t="inlineStr">
        <is>
          <t>2. Authentication &amp; Access Control</t>
        </is>
      </c>
      <c r="C11" s="15" t="inlineStr">
        <is>
          <t>Password reset / self-service registration</t>
        </is>
      </c>
      <c r="D11" s="13" t="inlineStr">
        <is>
          <t>Not Started</t>
        </is>
      </c>
      <c r="E11" s="16" t="inlineStr"/>
      <c r="F11" s="17" t="inlineStr">
        <is>
          <t>Out of scope for demo — seeded demo accounts only</t>
        </is>
      </c>
    </row>
    <row r="12" ht="30" customHeight="1">
      <c r="A12" s="13" t="n">
        <v>11</v>
      </c>
      <c r="B12" s="14" t="inlineStr">
        <is>
          <t>3. Data Model &amp; Database (MongoDB)</t>
        </is>
      </c>
      <c r="C12" s="15" t="inlineStr">
        <is>
          <t>MongoDB Atlas connection (Mongoose)</t>
        </is>
      </c>
      <c r="D12" s="13" t="inlineStr">
        <is>
          <t>Completed</t>
        </is>
      </c>
      <c r="E12" s="16" t="inlineStr"/>
      <c r="F12" s="17" t="inlineStr">
        <is>
          <t>backend/src/config/db.js</t>
        </is>
      </c>
    </row>
    <row r="13" ht="30" customHeight="1">
      <c r="A13" s="13" t="n">
        <v>12</v>
      </c>
      <c r="B13" s="14" t="inlineStr">
        <is>
          <t>3. Data Model &amp; Database (MongoDB)</t>
        </is>
      </c>
      <c r="C13" s="15" t="inlineStr">
        <is>
          <t>User model</t>
        </is>
      </c>
      <c r="D13" s="13" t="inlineStr">
        <is>
          <t>Completed</t>
        </is>
      </c>
      <c r="E13" s="16" t="inlineStr"/>
      <c r="F13" s="17" t="inlineStr">
        <is>
          <t>models/User.js</t>
        </is>
      </c>
    </row>
    <row r="14" ht="30" customHeight="1">
      <c r="A14" s="13" t="n">
        <v>13</v>
      </c>
      <c r="B14" s="14" t="inlineStr">
        <is>
          <t>3. Data Model &amp; Database (MongoDB)</t>
        </is>
      </c>
      <c r="C14" s="15" t="inlineStr">
        <is>
          <t>Application model</t>
        </is>
      </c>
      <c r="D14" s="13" t="inlineStr">
        <is>
          <t>Completed</t>
        </is>
      </c>
      <c r="E14" s="16" t="inlineStr"/>
      <c r="F14" s="17" t="inlineStr">
        <is>
          <t>Supports auto-loan, personal-loan, small-business-loan — models/Application.js</t>
        </is>
      </c>
    </row>
    <row r="15" ht="30" customHeight="1">
      <c r="A15" s="13" t="n">
        <v>14</v>
      </c>
      <c r="B15" s="14" t="inlineStr">
        <is>
          <t>3. Data Model &amp; Database (MongoDB)</t>
        </is>
      </c>
      <c r="C15" s="15" t="inlineStr">
        <is>
          <t>Document model (upload + verification results)</t>
        </is>
      </c>
      <c r="D15" s="13" t="inlineStr">
        <is>
          <t>Completed</t>
        </is>
      </c>
      <c r="E15" s="16" t="inlineStr"/>
      <c r="F15" s="17" t="inlineStr">
        <is>
          <t>models/Document.js</t>
        </is>
      </c>
    </row>
    <row r="16" ht="30" customHeight="1">
      <c r="A16" s="13" t="n">
        <v>15</v>
      </c>
      <c r="B16" s="14" t="inlineStr">
        <is>
          <t>3. Data Model &amp; Database (MongoDB)</t>
        </is>
      </c>
      <c r="C16" s="15" t="inlineStr">
        <is>
          <t>PolicyChunk model (RAG corpus storage)</t>
        </is>
      </c>
      <c r="D16" s="13" t="inlineStr">
        <is>
          <t>Completed</t>
        </is>
      </c>
      <c r="E16" s="16" t="inlineStr"/>
      <c r="F16" s="17" t="inlineStr">
        <is>
          <t>models/PolicyChunk.js</t>
        </is>
      </c>
    </row>
    <row r="17" ht="30" customHeight="1">
      <c r="A17" s="13" t="n">
        <v>16</v>
      </c>
      <c r="B17" s="14" t="inlineStr">
        <is>
          <t>3. Data Model &amp; Database (MongoDB)</t>
        </is>
      </c>
      <c r="C17" s="15" t="inlineStr">
        <is>
          <t>Seed script — demo users &amp; applications</t>
        </is>
      </c>
      <c r="D17" s="13" t="inlineStr">
        <is>
          <t>Completed</t>
        </is>
      </c>
      <c r="E17" s="16" t="inlineStr"/>
      <c r="F17" s="17" t="inlineStr">
        <is>
          <t>scripts/seed.js — extended with the small-business scenario</t>
        </is>
      </c>
    </row>
    <row r="18" ht="30" customHeight="1">
      <c r="A18" s="13" t="n">
        <v>17</v>
      </c>
      <c r="B18" s="14" t="inlineStr">
        <is>
          <t>3. Data Model &amp; Database (MongoDB)</t>
        </is>
      </c>
      <c r="C18" s="15" t="inlineStr">
        <is>
          <t>Policy ingestion script (chunks policy markdown into PolicyChunk)</t>
        </is>
      </c>
      <c r="D18" s="13" t="inlineStr">
        <is>
          <t>Completed</t>
        </is>
      </c>
      <c r="E18" s="16" t="inlineStr"/>
      <c r="F18" s="17" t="inlineStr">
        <is>
          <t>scripts/ingestPolicies.js</t>
        </is>
      </c>
    </row>
    <row r="19" ht="30" customHeight="1">
      <c r="A19" s="13" t="n">
        <v>18</v>
      </c>
      <c r="B19" s="14" t="inlineStr">
        <is>
          <t>4. Document Intelligence (OCR / AI Extraction)</t>
        </is>
      </c>
      <c r="C19" s="15" t="inlineStr">
        <is>
          <t>Claude vision classify + extract (single API call, no separate OCR service)</t>
        </is>
      </c>
      <c r="D19" s="13" t="inlineStr">
        <is>
          <t>Completed</t>
        </is>
      </c>
      <c r="E19" s="16" t="inlineStr"/>
      <c r="F19" s="17" t="inlineStr">
        <is>
          <t>services/extraction.js</t>
        </is>
      </c>
    </row>
    <row r="20" ht="30" customHeight="1">
      <c r="A20" s="13" t="n">
        <v>19</v>
      </c>
      <c r="B20" s="14" t="inlineStr">
        <is>
          <t>4. Document Intelligence (OCR / AI Extraction)</t>
        </is>
      </c>
      <c r="C20" s="15" t="inlineStr">
        <is>
          <t>Consumer document types — pay stub, W-2, bank statement, driver's license</t>
        </is>
      </c>
      <c r="D20" s="13" t="inlineStr">
        <is>
          <t>Completed</t>
        </is>
      </c>
      <c r="E20" s="16" t="inlineStr"/>
      <c r="F20" s="17" t="inlineStr"/>
    </row>
    <row r="21" ht="30" customHeight="1">
      <c r="A21" s="13" t="n">
        <v>20</v>
      </c>
      <c r="B21" s="14" t="inlineStr">
        <is>
          <t>4. Document Intelligence (OCR / AI Extraction)</t>
        </is>
      </c>
      <c r="C21" s="15" t="inlineStr">
        <is>
          <t>Small-business document types — tax return, personal financial statement, business license, ownership disclosure</t>
        </is>
      </c>
      <c r="D21" s="13" t="inlineStr">
        <is>
          <t>Completed</t>
        </is>
      </c>
      <c r="E21" s="16" t="inlineStr"/>
      <c r="F21" s="17" t="inlineStr">
        <is>
          <t>extraction.js prompt + fields extended</t>
        </is>
      </c>
    </row>
    <row r="22" ht="30" customHeight="1">
      <c r="A22" s="13" t="n">
        <v>21</v>
      </c>
      <c r="B22" s="14" t="inlineStr">
        <is>
          <t>4. Document Intelligence (OCR / AI Extraction)</t>
        </is>
      </c>
      <c r="C22" s="15" t="inlineStr">
        <is>
          <t>Document upload endpoint (multer, 10MB limit)</t>
        </is>
      </c>
      <c r="D22" s="13" t="inlineStr">
        <is>
          <t>Completed</t>
        </is>
      </c>
      <c r="E22" s="16" t="inlineStr"/>
      <c r="F22" s="17" t="inlineStr">
        <is>
          <t>routes/documents.js</t>
        </is>
      </c>
    </row>
    <row r="23" ht="30" customHeight="1">
      <c r="A23" s="13" t="n">
        <v>22</v>
      </c>
      <c r="B23" s="14" t="inlineStr">
        <is>
          <t>4. Document Intelligence (OCR / AI Extraction)</t>
        </is>
      </c>
      <c r="C23" s="15" t="inlineStr">
        <is>
          <t>Confidence scoring + low-confidence to human review routing</t>
        </is>
      </c>
      <c r="D23" s="13" t="inlineStr">
        <is>
          <t>Completed</t>
        </is>
      </c>
      <c r="E23" s="16" t="inlineStr"/>
      <c r="F23" s="17" t="inlineStr">
        <is>
          <t>services/verification.js</t>
        </is>
      </c>
    </row>
    <row r="24" ht="30" customHeight="1">
      <c r="A24" s="13" t="n">
        <v>23</v>
      </c>
      <c r="B24" s="14" t="inlineStr">
        <is>
          <t>4. Document Intelligence (OCR / AI Extraction)</t>
        </is>
      </c>
      <c r="C24" s="15" t="inlineStr">
        <is>
          <t>Extraction accuracy tuning against real-world-style documents</t>
        </is>
      </c>
      <c r="D24" s="13" t="inlineStr">
        <is>
          <t>Not Started</t>
        </is>
      </c>
      <c r="E24" s="16" t="inlineStr"/>
      <c r="F24" s="17" t="inlineStr">
        <is>
          <t>Only validated against synthetic generated images so far</t>
        </is>
      </c>
    </row>
    <row r="25" ht="30" customHeight="1">
      <c r="A25" s="13" t="n">
        <v>24</v>
      </c>
      <c r="B25" s="14" t="inlineStr">
        <is>
          <t>5. Cross-Verification Engine</t>
        </is>
      </c>
      <c r="C25" s="15" t="inlineStr">
        <is>
          <t>Deterministic rule engine (not LLM — explainable/auditable)</t>
        </is>
      </c>
      <c r="D25" s="13" t="inlineStr">
        <is>
          <t>Completed</t>
        </is>
      </c>
      <c r="E25" s="16" t="inlineStr"/>
      <c r="F25" s="17" t="inlineStr">
        <is>
          <t>services/verification.js</t>
        </is>
      </c>
    </row>
    <row r="26" ht="30" customHeight="1">
      <c r="A26" s="13" t="n">
        <v>25</v>
      </c>
      <c r="B26" s="14" t="inlineStr">
        <is>
          <t>5. Cross-Verification Engine</t>
        </is>
      </c>
      <c r="C26" s="15" t="inlineStr">
        <is>
          <t>Name match check</t>
        </is>
      </c>
      <c r="D26" s="13" t="inlineStr">
        <is>
          <t>Completed</t>
        </is>
      </c>
      <c r="E26" s="16" t="inlineStr"/>
      <c r="F26" s="17" t="inlineStr"/>
    </row>
    <row r="27" ht="30" customHeight="1">
      <c r="A27" s="13" t="n">
        <v>26</v>
      </c>
      <c r="B27" s="14" t="inlineStr">
        <is>
          <t>5. Cross-Verification Engine</t>
        </is>
      </c>
      <c r="C27" s="15" t="inlineStr">
        <is>
          <t>Income match check (5% tolerance)</t>
        </is>
      </c>
      <c r="D27" s="13" t="inlineStr">
        <is>
          <t>Completed</t>
        </is>
      </c>
      <c r="E27" s="16" t="inlineStr"/>
      <c r="F27" s="17" t="inlineStr"/>
    </row>
    <row r="28" ht="30" customHeight="1">
      <c r="A28" s="13" t="n">
        <v>27</v>
      </c>
      <c r="B28" s="14" t="inlineStr">
        <is>
          <t>5. Cross-Verification Engine</t>
        </is>
      </c>
      <c r="C28" s="15" t="inlineStr">
        <is>
          <t>Employer match check</t>
        </is>
      </c>
      <c r="D28" s="13" t="inlineStr">
        <is>
          <t>Completed</t>
        </is>
      </c>
      <c r="E28" s="16" t="inlineStr"/>
      <c r="F28" s="17" t="inlineStr"/>
    </row>
    <row r="29" ht="30" customHeight="1">
      <c r="A29" s="13" t="n">
        <v>28</v>
      </c>
      <c r="B29" s="14" t="inlineStr">
        <is>
          <t>5. Cross-Verification Engine</t>
        </is>
      </c>
      <c r="C29" s="15" t="inlineStr">
        <is>
          <t>SSN (last 4) match check</t>
        </is>
      </c>
      <c r="D29" s="13" t="inlineStr">
        <is>
          <t>Completed</t>
        </is>
      </c>
      <c r="E29" s="16" t="inlineStr"/>
      <c r="F29" s="17" t="inlineStr"/>
    </row>
    <row r="30" ht="30" customHeight="1">
      <c r="A30" s="13" t="n">
        <v>29</v>
      </c>
      <c r="B30" s="14" t="inlineStr">
        <is>
          <t>5. Cross-Verification Engine</t>
        </is>
      </c>
      <c r="C30" s="15" t="inlineStr">
        <is>
          <t>Business name / DBA match check</t>
        </is>
      </c>
      <c r="D30" s="13" t="inlineStr">
        <is>
          <t>Completed</t>
        </is>
      </c>
      <c r="E30" s="16" t="inlineStr"/>
      <c r="F30" s="17" t="inlineStr">
        <is>
          <t>Demonstrates the entity-name-mismatch pattern found in production loan-servicing tickets</t>
        </is>
      </c>
    </row>
    <row r="31" ht="30" customHeight="1">
      <c r="A31" s="13" t="n">
        <v>30</v>
      </c>
      <c r="B31" s="14" t="inlineStr">
        <is>
          <t>5. Cross-Verification Engine</t>
        </is>
      </c>
      <c r="C31" s="15" t="inlineStr">
        <is>
          <t>Annual business revenue match check</t>
        </is>
      </c>
      <c r="D31" s="13" t="inlineStr">
        <is>
          <t>Completed</t>
        </is>
      </c>
      <c r="E31" s="16" t="inlineStr"/>
      <c r="F31" s="17" t="inlineStr"/>
    </row>
    <row r="32" ht="30" customHeight="1">
      <c r="A32" s="13" t="n">
        <v>31</v>
      </c>
      <c r="B32" s="14" t="inlineStr">
        <is>
          <t>5. Cross-Verification Engine</t>
        </is>
      </c>
      <c r="C32" s="15" t="inlineStr">
        <is>
          <t>Missing-document detection</t>
        </is>
      </c>
      <c r="D32" s="13" t="inlineStr">
        <is>
          <t>Completed</t>
        </is>
      </c>
      <c r="E32" s="16" t="inlineStr"/>
      <c r="F32" s="17" t="inlineStr">
        <is>
          <t>missingDocuments() in verification.js</t>
        </is>
      </c>
    </row>
    <row r="33" ht="30" customHeight="1">
      <c r="A33" s="13" t="n">
        <v>32</v>
      </c>
      <c r="B33" s="14" t="inlineStr">
        <is>
          <t>5. Cross-Verification Engine</t>
        </is>
      </c>
      <c r="C33" s="15" t="inlineStr">
        <is>
          <t>Requested-amount affordability check (auto-loan, personal-loan, small-business-loan)</t>
        </is>
      </c>
      <c r="D33" s="13" t="inlineStr">
        <is>
          <t>Completed</t>
        </is>
      </c>
      <c r="E33" s="16" t="inlineStr"/>
      <c r="F33" s="17" t="inlineStr">
        <is>
          <t>New — compares requestedAmount against a simplified income/revenue-based estimate; flags as Warning, never auto-declines. Not a real credit/DSCR calculation</t>
        </is>
      </c>
    </row>
    <row r="34" ht="30" customHeight="1">
      <c r="A34" s="13" t="n">
        <v>33</v>
      </c>
      <c r="B34" s="14" t="inlineStr">
        <is>
          <t>5. Cross-Verification Engine</t>
        </is>
      </c>
      <c r="C34" s="15" t="inlineStr">
        <is>
          <t>Warning-level flags surface at the application list level, not just inside document detail</t>
        </is>
      </c>
      <c r="D34" s="13" t="inlineStr">
        <is>
          <t>Completed</t>
        </is>
      </c>
      <c r="E34" s="16" t="inlineStr"/>
      <c r="F34" s="17" t="inlineStr">
        <is>
          <t>Fixed today — routes/documents.js previously only bumped application status to Needs Review on a hard Mismatch, so an affordability warning was invisible in the officer's list view</t>
        </is>
      </c>
    </row>
    <row r="35" ht="30" customHeight="1">
      <c r="A35" s="13" t="n">
        <v>34</v>
      </c>
      <c r="B35" s="14" t="inlineStr">
        <is>
          <t>5. Cross-Verification Engine</t>
        </is>
      </c>
      <c r="C35" s="15" t="inlineStr">
        <is>
          <t>US currency formatting fixed regardless of server/browser locale</t>
        </is>
      </c>
      <c r="D35" s="13" t="inlineStr">
        <is>
          <t>Completed</t>
        </is>
      </c>
      <c r="E35" s="16" t="inlineStr"/>
      <c r="F35" s="17" t="inlineStr">
        <is>
          <t>toLocaleString() was rendering $3,40,000-style grouping on non-US locales; forced to 'en-US' across backend and frontend</t>
        </is>
      </c>
    </row>
    <row r="36" ht="30" customHeight="1">
      <c r="A36" s="13" t="n">
        <v>35</v>
      </c>
      <c r="B36" s="14" t="inlineStr">
        <is>
          <t>5. Cross-Verification Engine</t>
        </is>
      </c>
      <c r="C36" s="15" t="inlineStr">
        <is>
          <t>One-click 'request missing document' email to borrower</t>
        </is>
      </c>
      <c r="D36" s="13" t="inlineStr">
        <is>
          <t>Not Started</t>
        </is>
      </c>
      <c r="E36" s="16" t="inlineStr"/>
      <c r="F36" s="17" t="inlineStr">
        <is>
          <t>See Section 13 for the fuller self-service re-request concept from pain-point research</t>
        </is>
      </c>
    </row>
    <row r="37" ht="30" customHeight="1">
      <c r="A37" s="13" t="n">
        <v>36</v>
      </c>
      <c r="B37" s="14" t="inlineStr">
        <is>
          <t>6. RAG Assistant (Conversational Q&amp;A)</t>
        </is>
      </c>
      <c r="C37" s="15" t="inlineStr">
        <is>
          <t>Policy corpus grounding (full corpus in context — no vector DB yet)</t>
        </is>
      </c>
      <c r="D37" s="13" t="inlineStr">
        <is>
          <t>Completed</t>
        </is>
      </c>
      <c r="E37" s="16" t="inlineStr"/>
      <c r="F37" s="17" t="inlineStr">
        <is>
          <t>services/rag.js</t>
        </is>
      </c>
    </row>
    <row r="38" ht="30" customHeight="1">
      <c r="A38" s="13" t="n">
        <v>37</v>
      </c>
      <c r="B38" s="14" t="inlineStr">
        <is>
          <t>6. RAG Assistant (Conversational Q&amp;A)</t>
        </is>
      </c>
      <c r="C38" s="15" t="inlineStr">
        <is>
          <t>Citation / source attribution on every answer</t>
        </is>
      </c>
      <c r="D38" s="13" t="inlineStr">
        <is>
          <t>Completed</t>
        </is>
      </c>
      <c r="E38" s="16" t="inlineStr"/>
      <c r="F38" s="17" t="inlineStr"/>
    </row>
    <row r="39" ht="30" customHeight="1">
      <c r="A39" s="13" t="n">
        <v>38</v>
      </c>
      <c r="B39" s="14" t="inlineStr">
        <is>
          <t>6. RAG Assistant (Conversational Q&amp;A)</t>
        </is>
      </c>
      <c r="C39" s="15" t="inlineStr">
        <is>
          <t>Role-aware answers (officer vs. borrower)</t>
        </is>
      </c>
      <c r="D39" s="13" t="inlineStr">
        <is>
          <t>Completed</t>
        </is>
      </c>
      <c r="E39" s="16" t="inlineStr"/>
      <c r="F39" s="17" t="inlineStr"/>
    </row>
    <row r="40" ht="30" customHeight="1">
      <c r="A40" s="13" t="n">
        <v>39</v>
      </c>
      <c r="B40" s="14" t="inlineStr">
        <is>
          <t>6. RAG Assistant (Conversational Q&amp;A)</t>
        </is>
      </c>
      <c r="C40" s="15" t="inlineStr">
        <is>
          <t>Refusal behavior for out-of-corpus questions (no invented rates/policy)</t>
        </is>
      </c>
      <c r="D40" s="13" t="inlineStr">
        <is>
          <t>Completed</t>
        </is>
      </c>
      <c r="E40" s="16" t="inlineStr"/>
      <c r="F40" s="17" t="inlineStr">
        <is>
          <t>Validated in data/seed/test-questions.md</t>
        </is>
      </c>
    </row>
    <row r="41" ht="30" customHeight="1">
      <c r="A41" s="13" t="n">
        <v>40</v>
      </c>
      <c r="B41" s="14" t="inlineStr">
        <is>
          <t>6. RAG Assistant (Conversational Q&amp;A)</t>
        </is>
      </c>
      <c r="C41" s="15" t="inlineStr">
        <is>
          <t>Small-business loan Q&amp;A coverage</t>
        </is>
      </c>
      <c r="D41" s="13" t="inlineStr">
        <is>
          <t>Completed</t>
        </is>
      </c>
      <c r="E41" s="16" t="inlineStr"/>
      <c r="F41" s="17" t="inlineStr">
        <is>
          <t>test-questions.md items 19-23</t>
        </is>
      </c>
    </row>
    <row r="42" ht="30" customHeight="1">
      <c r="A42" s="13" t="n">
        <v>41</v>
      </c>
      <c r="B42" s="14" t="inlineStr">
        <is>
          <t>6. RAG Assistant (Conversational Q&amp;A)</t>
        </is>
      </c>
      <c r="C42" s="15" t="inlineStr">
        <is>
          <t>WhatsApp channel for the assistant</t>
        </is>
      </c>
      <c r="D42" s="13" t="inlineStr">
        <is>
          <t>Not Started</t>
        </is>
      </c>
      <c r="E42" s="16" t="inlineStr"/>
      <c r="F42" s="17" t="inlineStr">
        <is>
          <t>See Section 9</t>
        </is>
      </c>
    </row>
    <row r="43" ht="30" customHeight="1">
      <c r="A43" s="13" t="n">
        <v>42</v>
      </c>
      <c r="B43" s="14" t="inlineStr">
        <is>
          <t>6. RAG Assistant (Conversational Q&amp;A)</t>
        </is>
      </c>
      <c r="C43" s="15" t="inlineStr">
        <is>
          <t>Adverse Action notice auto-drafting (policy-grounded)</t>
        </is>
      </c>
      <c r="D43" s="13" t="inlineStr">
        <is>
          <t>Not Started</t>
        </is>
      </c>
      <c r="E43" s="16" t="inlineStr"/>
      <c r="F43" s="17" t="inlineStr">
        <is>
          <t>Recommended add-on from pain-point research — not yet scoped</t>
        </is>
      </c>
    </row>
    <row r="44" ht="30" customHeight="1">
      <c r="A44" s="13" t="n">
        <v>43</v>
      </c>
      <c r="B44" s="14" t="inlineStr">
        <is>
          <t>6. RAG Assistant (Conversational Q&amp;A)</t>
        </is>
      </c>
      <c r="C44" s="15" t="inlineStr">
        <is>
          <t>Embeddings + vector search (scale-up path)</t>
        </is>
      </c>
      <c r="D44" s="13" t="inlineStr">
        <is>
          <t>Not Started</t>
        </is>
      </c>
      <c r="E44" s="16" t="inlineStr"/>
      <c r="F44" s="17" t="inlineStr">
        <is>
          <t>Deliberately deferred — full corpus fits in context for the POC (ROADMAP.md)</t>
        </is>
      </c>
    </row>
    <row r="45" ht="30" customHeight="1">
      <c r="A45" s="13" t="n">
        <v>44</v>
      </c>
      <c r="B45" s="14" t="inlineStr">
        <is>
          <t>7. Frontend — Screens &amp; Navigation</t>
        </is>
      </c>
      <c r="C45" s="15" t="inlineStr">
        <is>
          <t>Navigation shell (auth-gated stack navigation)</t>
        </is>
      </c>
      <c r="D45" s="13" t="inlineStr">
        <is>
          <t>Completed</t>
        </is>
      </c>
      <c r="E45" s="16" t="inlineStr"/>
      <c r="F45" s="17" t="inlineStr">
        <is>
          <t>App.js</t>
        </is>
      </c>
    </row>
    <row r="46" ht="30" customHeight="1">
      <c r="A46" s="13" t="n">
        <v>45</v>
      </c>
      <c r="B46" s="14" t="inlineStr">
        <is>
          <t>7. Frontend — Screens &amp; Navigation</t>
        </is>
      </c>
      <c r="C46" s="15" t="inlineStr">
        <is>
          <t>Login screen</t>
        </is>
      </c>
      <c r="D46" s="13" t="inlineStr">
        <is>
          <t>Completed</t>
        </is>
      </c>
      <c r="E46" s="16" t="inlineStr"/>
      <c r="F46" s="17" t="inlineStr"/>
    </row>
    <row r="47" ht="30" customHeight="1">
      <c r="A47" s="13" t="n">
        <v>46</v>
      </c>
      <c r="B47" s="14" t="inlineStr">
        <is>
          <t>7. Frontend — Screens &amp; Navigation</t>
        </is>
      </c>
      <c r="C47" s="15" t="inlineStr">
        <is>
          <t>Applications list screen</t>
        </is>
      </c>
      <c r="D47" s="13" t="inlineStr">
        <is>
          <t>Completed</t>
        </is>
      </c>
      <c r="E47" s="16" t="inlineStr"/>
      <c r="F47" s="17" t="inlineStr">
        <is>
          <t>Officer sees all; borrower sees only their own</t>
        </is>
      </c>
    </row>
    <row r="48" ht="30" customHeight="1">
      <c r="A48" s="13" t="n">
        <v>47</v>
      </c>
      <c r="B48" s="14" t="inlineStr">
        <is>
          <t>7. Frontend — Screens &amp; Navigation</t>
        </is>
      </c>
      <c r="C48" s="15" t="inlineStr">
        <is>
          <t>Application detail screen (header facts + tab bar)</t>
        </is>
      </c>
      <c r="D48" s="13" t="inlineStr">
        <is>
          <t>Completed</t>
        </is>
      </c>
      <c r="E48" s="16" t="inlineStr"/>
      <c r="F48" s="17" t="inlineStr">
        <is>
          <t>Branches fact display by product type</t>
        </is>
      </c>
    </row>
    <row r="49" ht="30" customHeight="1">
      <c r="A49" s="13" t="n">
        <v>48</v>
      </c>
      <c r="B49" s="14" t="inlineStr">
        <is>
          <t>7. Frontend — Screens &amp; Navigation</t>
        </is>
      </c>
      <c r="C49" s="15" t="inlineStr">
        <is>
          <t>Documents tab — upload + extracted fields display</t>
        </is>
      </c>
      <c r="D49" s="13" t="inlineStr">
        <is>
          <t>Completed</t>
        </is>
      </c>
      <c r="E49" s="16" t="inlineStr"/>
      <c r="F49" s="17" t="inlineStr"/>
    </row>
    <row r="50" ht="30" customHeight="1">
      <c r="A50" s="13" t="n">
        <v>49</v>
      </c>
      <c r="B50" s="14" t="inlineStr">
        <is>
          <t>7. Frontend — Screens &amp; Navigation</t>
        </is>
      </c>
      <c r="C50" s="15" t="inlineStr">
        <is>
          <t>Verification tab — checks + missing documents</t>
        </is>
      </c>
      <c r="D50" s="13" t="inlineStr">
        <is>
          <t>Completed</t>
        </is>
      </c>
      <c r="E50" s="16" t="inlineStr"/>
      <c r="F50" s="17" t="inlineStr"/>
    </row>
    <row r="51" ht="30" customHeight="1">
      <c r="A51" s="13" t="n">
        <v>50</v>
      </c>
      <c r="B51" s="14" t="inlineStr">
        <is>
          <t>7. Frontend — Screens &amp; Navigation</t>
        </is>
      </c>
      <c r="C51" s="15" t="inlineStr">
        <is>
          <t>Assistant tab — chat UI with source chips</t>
        </is>
      </c>
      <c r="D51" s="13" t="inlineStr">
        <is>
          <t>Completed</t>
        </is>
      </c>
      <c r="E51" s="16" t="inlineStr"/>
      <c r="F51" s="17" t="inlineStr"/>
    </row>
    <row r="52" ht="30" customHeight="1">
      <c r="A52" s="13" t="n">
        <v>51</v>
      </c>
      <c r="B52" s="14" t="inlineStr">
        <is>
          <t>7. Frontend — Screens &amp; Navigation</t>
        </is>
      </c>
      <c r="C52" s="15" t="inlineStr">
        <is>
          <t>Small-business-specific detail view (business name / revenue facts)</t>
        </is>
      </c>
      <c r="D52" s="13" t="inlineStr">
        <is>
          <t>Completed</t>
        </is>
      </c>
      <c r="E52" s="16" t="inlineStr"/>
      <c r="F52" s="17" t="inlineStr"/>
    </row>
    <row r="53" ht="30" customHeight="1">
      <c r="A53" s="13" t="n">
        <v>52</v>
      </c>
      <c r="B53" s="14" t="inlineStr">
        <is>
          <t>7. Frontend — Screens &amp; Navigation</t>
        </is>
      </c>
      <c r="C53" s="15" t="inlineStr">
        <is>
          <t>Fintech-styled visual design pass</t>
        </is>
      </c>
      <c r="D53" s="13" t="inlineStr">
        <is>
          <t>Completed</t>
        </is>
      </c>
      <c r="E53" s="16" t="inlineStr"/>
      <c r="F53" s="17" t="inlineStr">
        <is>
          <t>Per recent commit history</t>
        </is>
      </c>
    </row>
    <row r="54" ht="30" customHeight="1">
      <c r="A54" s="13" t="n">
        <v>53</v>
      </c>
      <c r="B54" s="14" t="inlineStr">
        <is>
          <t>8. Synthetic Demo Data</t>
        </is>
      </c>
      <c r="C54" s="15" t="inlineStr">
        <is>
          <t>Policy corpus — 6 markdown policies</t>
        </is>
      </c>
      <c r="D54" s="13" t="inlineStr">
        <is>
          <t>Completed</t>
        </is>
      </c>
      <c r="E54" s="16" t="inlineStr"/>
      <c r="F54" s="17" t="inlineStr">
        <is>
          <t>Application process, document checklist, income verification, auto-loan, personal-loan, FAQ</t>
        </is>
      </c>
    </row>
    <row r="55" ht="30" customHeight="1">
      <c r="A55" s="13" t="n">
        <v>54</v>
      </c>
      <c r="B55" s="14" t="inlineStr">
        <is>
          <t>8. Synthetic Demo Data</t>
        </is>
      </c>
      <c r="C55" s="15" t="inlineStr">
        <is>
          <t>Small Business Loan Requirements policy</t>
        </is>
      </c>
      <c r="D55" s="13" t="inlineStr">
        <is>
          <t>Completed</t>
        </is>
      </c>
      <c r="E55" s="16" t="inlineStr"/>
      <c r="F55" s="17" t="inlineStr">
        <is>
          <t>data/policies/small-business-loan-requirements.md</t>
        </is>
      </c>
    </row>
    <row r="56" ht="30" customHeight="1">
      <c r="A56" s="13" t="n">
        <v>55</v>
      </c>
      <c r="B56" s="14" t="inlineStr">
        <is>
          <t>8. Synthetic Demo Data</t>
        </is>
      </c>
      <c r="C56" s="15" t="inlineStr">
        <is>
          <t>Consumer demo documents — Jordan Rivera (pay stub, license, bank statement)</t>
        </is>
      </c>
      <c r="D56" s="13" t="inlineStr">
        <is>
          <t>Completed</t>
        </is>
      </c>
      <c r="E56" s="16" t="inlineStr"/>
      <c r="F56" s="17" t="inlineStr">
        <is>
          <t>Planted income mismatch: $4,200 vs. $5,000 stated</t>
        </is>
      </c>
    </row>
    <row r="57" ht="30" customHeight="1">
      <c r="A57" s="13" t="n">
        <v>56</v>
      </c>
      <c r="B57" s="14" t="inlineStr">
        <is>
          <t>8. Synthetic Demo Data</t>
        </is>
      </c>
      <c r="C57" s="15" t="inlineStr">
        <is>
          <t>Small-business demo documents — Whitfield &amp; Co. Bakery LLC</t>
        </is>
      </c>
      <c r="D57" s="13" t="inlineStr">
        <is>
          <t>Completed</t>
        </is>
      </c>
      <c r="E57" s="16" t="inlineStr"/>
      <c r="F57" s="17" t="inlineStr">
        <is>
          <t>Tax return, personal financial statement, business license, ownership disclosure; planted revenue mismatch ($275,400 vs. $340,000) and entity-name mismatch</t>
        </is>
      </c>
    </row>
    <row r="58" ht="30" customHeight="1">
      <c r="A58" s="13" t="n">
        <v>57</v>
      </c>
      <c r="B58" s="14" t="inlineStr">
        <is>
          <t>8. Synthetic Demo Data</t>
        </is>
      </c>
      <c r="C58" s="15" t="inlineStr">
        <is>
          <t>Test question bank (acceptance checklist)</t>
        </is>
      </c>
      <c r="D58" s="13" t="inlineStr">
        <is>
          <t>Completed</t>
        </is>
      </c>
      <c r="E58" s="16" t="inlineStr"/>
      <c r="F58" s="17" t="inlineStr">
        <is>
          <t>data/seed/test-questions.md — 23 questions across both scenarios</t>
        </is>
      </c>
    </row>
    <row r="59" ht="30" customHeight="1">
      <c r="A59" s="13" t="n">
        <v>58</v>
      </c>
      <c r="B59" s="14" t="inlineStr">
        <is>
          <t>8. Synthetic Demo Data</t>
        </is>
      </c>
      <c r="C59" s="15" t="inlineStr">
        <is>
          <t>Demo script</t>
        </is>
      </c>
      <c r="D59" s="13" t="inlineStr">
        <is>
          <t>Completed</t>
        </is>
      </c>
      <c r="E59" s="16" t="inlineStr"/>
      <c r="F59" s="17" t="inlineStr">
        <is>
          <t>docs/DEMO_SCRIPT.md — leads with the small-business scenario</t>
        </is>
      </c>
    </row>
    <row r="60" ht="30" customHeight="1">
      <c r="A60" s="13" t="n">
        <v>59</v>
      </c>
      <c r="B60" s="14" t="inlineStr">
        <is>
          <t>9. WhatsApp Integration</t>
        </is>
      </c>
      <c r="C60" s="15" t="inlineStr">
        <is>
          <t>Meta developer app + free sandbox test number</t>
        </is>
      </c>
      <c r="D60" s="13" t="inlineStr">
        <is>
          <t>Not Started</t>
        </is>
      </c>
      <c r="E60" s="16" t="inlineStr"/>
      <c r="F60" s="17" t="inlineStr">
        <is>
          <t>Self-serve, free, no leadership approval needed for the demo</t>
        </is>
      </c>
    </row>
    <row r="61" ht="30" customHeight="1">
      <c r="A61" s="13" t="n">
        <v>60</v>
      </c>
      <c r="B61" s="14" t="inlineStr">
        <is>
          <t>9. WhatsApp Integration</t>
        </is>
      </c>
      <c r="C61" s="15" t="inlineStr">
        <is>
          <t>Webhook endpoint to receive inbound WhatsApp messages</t>
        </is>
      </c>
      <c r="D61" s="13" t="inlineStr">
        <is>
          <t>Not Started</t>
        </is>
      </c>
      <c r="E61" s="16" t="inlineStr"/>
      <c r="F61" s="17" t="inlineStr"/>
    </row>
    <row r="62" ht="30" customHeight="1">
      <c r="A62" s="13" t="n">
        <v>61</v>
      </c>
      <c r="B62" s="14" t="inlineStr">
        <is>
          <t>9. WhatsApp Integration</t>
        </is>
      </c>
      <c r="C62" s="15" t="inlineStr">
        <is>
          <t>Route inbound messages into the existing RAG assistant</t>
        </is>
      </c>
      <c r="D62" s="13" t="inlineStr">
        <is>
          <t>Not Started</t>
        </is>
      </c>
      <c r="E62" s="16" t="inlineStr"/>
      <c r="F62" s="17" t="inlineStr">
        <is>
          <t>Can reuse services/rag.js — answerQuestion()</t>
        </is>
      </c>
    </row>
    <row r="63" ht="30" customHeight="1">
      <c r="A63" s="13" t="n">
        <v>62</v>
      </c>
      <c r="B63" s="14" t="inlineStr">
        <is>
          <t>9. WhatsApp Integration</t>
        </is>
      </c>
      <c r="C63" s="15" t="inlineStr">
        <is>
          <t>Outbound reply via WhatsApp Cloud API</t>
        </is>
      </c>
      <c r="D63" s="13" t="inlineStr">
        <is>
          <t>Not Started</t>
        </is>
      </c>
      <c r="E63" s="16" t="inlineStr"/>
      <c r="F63" s="17" t="inlineStr"/>
    </row>
    <row r="64" ht="30" customHeight="1">
      <c r="A64" s="13" t="n">
        <v>63</v>
      </c>
      <c r="B64" s="14" t="inlineStr">
        <is>
          <t>9. WhatsApp Integration</t>
        </is>
      </c>
      <c r="C64" s="15" t="inlineStr">
        <is>
          <t>Production Meta Business verification</t>
        </is>
      </c>
      <c r="D64" s="13" t="inlineStr">
        <is>
          <t>Not Started</t>
        </is>
      </c>
      <c r="E64" s="16" t="inlineStr"/>
      <c r="F64" s="17" t="inlineStr">
        <is>
          <t>Only needed post-demo, for a real bank pilot — not for the MVP</t>
        </is>
      </c>
    </row>
    <row r="65" ht="30" customHeight="1">
      <c r="A65" s="13" t="n">
        <v>64</v>
      </c>
      <c r="B65" s="14" t="inlineStr">
        <is>
          <t>10. Hosting &amp; Deployment</t>
        </is>
      </c>
      <c r="C65" s="15" t="inlineStr">
        <is>
          <t>Render Blueprint configuration</t>
        </is>
      </c>
      <c r="D65" s="13" t="inlineStr">
        <is>
          <t>Completed</t>
        </is>
      </c>
      <c r="E65" s="16" t="inlineStr"/>
      <c r="F65" s="17" t="inlineStr">
        <is>
          <t>render.yaml — backend web service + frontend static site</t>
        </is>
      </c>
    </row>
    <row r="66" ht="30" customHeight="1">
      <c r="A66" s="13" t="n">
        <v>65</v>
      </c>
      <c r="B66" s="14" t="inlineStr">
        <is>
          <t>10. Hosting &amp; Deployment</t>
        </is>
      </c>
      <c r="C66" s="15" t="inlineStr">
        <is>
          <t>Backend deployed &amp; health-checked on Render</t>
        </is>
      </c>
      <c r="D66" s="13" t="inlineStr">
        <is>
          <t>In Progress</t>
        </is>
      </c>
      <c r="E66" s="16" t="inlineStr"/>
      <c r="F66" s="17" t="inlineStr">
        <is>
          <t>Confirm live and reachable before demo day (/health)</t>
        </is>
      </c>
    </row>
    <row r="67" ht="30" customHeight="1">
      <c r="A67" s="13" t="n">
        <v>66</v>
      </c>
      <c r="B67" s="14" t="inlineStr">
        <is>
          <t>10. Hosting &amp; Deployment</t>
        </is>
      </c>
      <c r="C67" s="15" t="inlineStr">
        <is>
          <t>Frontend deployed as Render static site</t>
        </is>
      </c>
      <c r="D67" s="13" t="inlineStr">
        <is>
          <t>In Progress</t>
        </is>
      </c>
      <c r="E67" s="16" t="inlineStr"/>
      <c r="F67" s="17" t="inlineStr">
        <is>
          <t>Confirm Expo web export + rewrite rule are working</t>
        </is>
      </c>
    </row>
    <row r="68" ht="30" customHeight="1">
      <c r="A68" s="13" t="n">
        <v>67</v>
      </c>
      <c r="B68" s="14" t="inlineStr">
        <is>
          <t>10. Hosting &amp; Deployment</t>
        </is>
      </c>
      <c r="C68" s="15" t="inlineStr">
        <is>
          <t>MongoDB Atlas cluster provisioned (M0 free tier)</t>
        </is>
      </c>
      <c r="D68" s="13" t="inlineStr">
        <is>
          <t>In Progress</t>
        </is>
      </c>
      <c r="E68" s="16" t="inlineStr"/>
      <c r="F68" s="17" t="inlineStr">
        <is>
          <t>Confirm connection string + Network Access 0.0.0.0/0 are set</t>
        </is>
      </c>
    </row>
    <row r="69" ht="30" customHeight="1">
      <c r="A69" s="13" t="n">
        <v>68</v>
      </c>
      <c r="B69" s="14" t="inlineStr">
        <is>
          <t>10. Hosting &amp; Deployment</t>
        </is>
      </c>
      <c r="C69" s="15" t="inlineStr">
        <is>
          <t>One-shot /admin/reset endpoint for pre-demo data reset</t>
        </is>
      </c>
      <c r="D69" s="13" t="inlineStr">
        <is>
          <t>Completed</t>
        </is>
      </c>
      <c r="E69" s="16" t="inlineStr"/>
      <c r="F69" s="17" t="inlineStr">
        <is>
          <t>routes/admin.js — seeds + re-indexes policies in one call</t>
        </is>
      </c>
    </row>
    <row r="70" ht="30" customHeight="1">
      <c r="A70" s="13" t="n">
        <v>69</v>
      </c>
      <c r="B70" s="14" t="inlineStr">
        <is>
          <t>11. Testing &amp; QA</t>
        </is>
      </c>
      <c r="C70" s="15" t="inlineStr">
        <is>
          <t>Manual acceptance test question bank</t>
        </is>
      </c>
      <c r="D70" s="13" t="inlineStr">
        <is>
          <t>Completed</t>
        </is>
      </c>
      <c r="E70" s="16" t="inlineStr"/>
      <c r="F70" s="17" t="inlineStr">
        <is>
          <t>23 questions across consumer + small-business scenarios</t>
        </is>
      </c>
    </row>
    <row r="71" ht="30" customHeight="1">
      <c r="A71" s="13" t="n">
        <v>70</v>
      </c>
      <c r="B71" s="14" t="inlineStr">
        <is>
          <t>11. Testing &amp; QA</t>
        </is>
      </c>
      <c r="C71" s="15" t="inlineStr">
        <is>
          <t>Automated unit/integration tests</t>
        </is>
      </c>
      <c r="D71" s="13" t="inlineStr">
        <is>
          <t>Not Started</t>
        </is>
      </c>
      <c r="E71" s="16" t="inlineStr"/>
      <c r="F71" s="17" t="inlineStr"/>
    </row>
    <row r="72" ht="30" customHeight="1">
      <c r="A72" s="13" t="n">
        <v>71</v>
      </c>
      <c r="B72" s="14" t="inlineStr">
        <is>
          <t>11. Testing &amp; QA</t>
        </is>
      </c>
      <c r="C72" s="15" t="inlineStr">
        <is>
          <t>End-to-end demo rehearsal (full run-through, timed)</t>
        </is>
      </c>
      <c r="D72" s="13" t="inlineStr">
        <is>
          <t>Not Started</t>
        </is>
      </c>
      <c r="E72" s="16" t="inlineStr"/>
      <c r="F72" s="17" t="inlineStr">
        <is>
          <t>Schedule before presentation day</t>
        </is>
      </c>
    </row>
    <row r="73" ht="30" customHeight="1">
      <c r="A73" s="13" t="n">
        <v>72</v>
      </c>
      <c r="B73" s="14" t="inlineStr">
        <is>
          <t>11. Testing &amp; QA</t>
        </is>
      </c>
      <c r="C73" s="15" t="inlineStr">
        <is>
          <t>Cross-browser / device check (Expo web export)</t>
        </is>
      </c>
      <c r="D73" s="13" t="inlineStr">
        <is>
          <t>Not Started</t>
        </is>
      </c>
      <c r="E73" s="16" t="inlineStr"/>
      <c r="F73" s="17" t="inlineStr"/>
    </row>
    <row r="74" ht="30" customHeight="1">
      <c r="A74" s="13" t="n">
        <v>73</v>
      </c>
      <c r="B74" s="14" t="inlineStr">
        <is>
          <t>12. Documentation</t>
        </is>
      </c>
      <c r="C74" s="15" t="inlineStr">
        <is>
          <t>README (quick start, architecture, deploy steps)</t>
        </is>
      </c>
      <c r="D74" s="13" t="inlineStr">
        <is>
          <t>Completed</t>
        </is>
      </c>
      <c r="E74" s="16" t="inlineStr"/>
      <c r="F74" s="17" t="inlineStr"/>
    </row>
    <row r="75" ht="30" customHeight="1">
      <c r="A75" s="13" t="n">
        <v>74</v>
      </c>
      <c r="B75" s="14" t="inlineStr">
        <is>
          <t>12. Documentation</t>
        </is>
      </c>
      <c r="C75" s="15" t="inlineStr">
        <is>
          <t>ROADMAP.md (phased build plan)</t>
        </is>
      </c>
      <c r="D75" s="13" t="inlineStr">
        <is>
          <t>Completed</t>
        </is>
      </c>
      <c r="E75" s="16" t="inlineStr"/>
      <c r="F75" s="17" t="inlineStr"/>
    </row>
    <row r="76" ht="30" customHeight="1">
      <c r="A76" s="13" t="n">
        <v>75</v>
      </c>
      <c r="B76" s="14" t="inlineStr">
        <is>
          <t>12. Documentation</t>
        </is>
      </c>
      <c r="C76" s="15" t="inlineStr">
        <is>
          <t>DEMO_SCRIPT.md (3-minute walkthrough)</t>
        </is>
      </c>
      <c r="D76" s="13" t="inlineStr">
        <is>
          <t>Completed</t>
        </is>
      </c>
      <c r="E76" s="16" t="inlineStr"/>
      <c r="F76" s="17" t="inlineStr"/>
    </row>
    <row r="77" ht="30" customHeight="1">
      <c r="A77" s="13" t="n">
        <v>76</v>
      </c>
      <c r="B77" s="14" t="inlineStr">
        <is>
          <t>12. Documentation</t>
        </is>
      </c>
      <c r="C77" s="15" t="inlineStr">
        <is>
          <t>Development task tracker (this file)</t>
        </is>
      </c>
      <c r="D77" s="13" t="inlineStr">
        <is>
          <t>Completed</t>
        </is>
      </c>
      <c r="E77" s="16" t="inlineStr"/>
      <c r="F77" s="17" t="inlineStr">
        <is>
          <t>Prepared 2026-09-11, moved to Excel — update statuses as work progresses</t>
        </is>
      </c>
    </row>
    <row r="78" ht="30" customHeight="1">
      <c r="A78" s="13" t="n">
        <v>77</v>
      </c>
      <c r="B78" s="14" t="inlineStr">
        <is>
          <t>13. Real-Time Document Validation &amp; Self-Service Re-Request (DocuSense)</t>
        </is>
      </c>
      <c r="C78" s="15" t="inlineStr">
        <is>
          <t>In-browser instant document classification &amp; quality check at upload</t>
        </is>
      </c>
      <c r="D78" s="13" t="inlineStr">
        <is>
          <t>Not Started</t>
        </is>
      </c>
      <c r="E78" s="16" t="inlineStr"/>
      <c r="F78" s="17" t="inlineStr">
        <is>
          <t>Runs the existing extraction before submission instead of after, with immediate feedback</t>
        </is>
      </c>
    </row>
    <row r="79" ht="30" customHeight="1">
      <c r="A79" s="13" t="n">
        <v>78</v>
      </c>
      <c r="B79" s="14" t="inlineStr">
        <is>
          <t>13. Real-Time Document Validation &amp; Self-Service Re-Request (DocuSense)</t>
        </is>
      </c>
      <c r="C79" s="15" t="inlineStr">
        <is>
          <t>Pre-submission completeness check (required schedules/pages present)</t>
        </is>
      </c>
      <c r="D79" s="13" t="inlineStr">
        <is>
          <t>Not Started</t>
        </is>
      </c>
      <c r="E79" s="16" t="inlineStr"/>
      <c r="F79" s="17" t="inlineStr">
        <is>
          <t>Per document type</t>
        </is>
      </c>
    </row>
    <row r="80" ht="30" customHeight="1">
      <c r="A80" s="13" t="n">
        <v>79</v>
      </c>
      <c r="B80" s="14" t="inlineStr">
        <is>
          <t>13. Real-Time Document Validation &amp; Self-Service Re-Request (DocuSense)</t>
        </is>
      </c>
      <c r="C80" s="15" t="inlineStr">
        <is>
          <t>Blur / glare / legibility detection before accepting an upload</t>
        </is>
      </c>
      <c r="D80" s="13" t="inlineStr">
        <is>
          <t>Not Started</t>
        </is>
      </c>
      <c r="E80" s="16" t="inlineStr"/>
      <c r="F80" s="17" t="inlineStr">
        <is>
          <t>Complements existing confidence-score routing in verification.js</t>
        </is>
      </c>
    </row>
    <row r="81" ht="30" customHeight="1">
      <c r="A81" s="13" t="n">
        <v>80</v>
      </c>
      <c r="B81" s="14" t="inlineStr">
        <is>
          <t>13. Real-Time Document Validation &amp; Self-Service Re-Request (DocuSense)</t>
        </is>
      </c>
      <c r="C81" s="15" t="inlineStr">
        <is>
          <t>Self-service secure re-upload link (SMS / magic link) on document rejection</t>
        </is>
      </c>
      <c r="D81" s="13" t="inlineStr">
        <is>
          <t>Not Started</t>
        </is>
      </c>
      <c r="E81" s="16" t="inlineStr"/>
      <c r="F81" s="17" t="inlineStr">
        <is>
          <t>Directly answers the #1 pain point from Rovo research — 'document ping-pong' / stuck Needs-Review workflows</t>
        </is>
      </c>
    </row>
    <row r="82" ht="30" customHeight="1">
      <c r="A82" s="13" t="n">
        <v>81</v>
      </c>
      <c r="B82" s="14" t="inlineStr">
        <is>
          <t>13. Real-Time Document Validation &amp; Self-Service Re-Request (DocuSense)</t>
        </is>
      </c>
      <c r="C82" s="15" t="inlineStr">
        <is>
          <t>Auto pre-fill of underwriting review fields from extracted data</t>
        </is>
      </c>
      <c r="D82" s="13" t="inlineStr">
        <is>
          <t>Not Started</t>
        </is>
      </c>
      <c r="E82" s="16" t="inlineStr"/>
      <c r="F82" s="17" t="inlineStr">
        <is>
          <t>Extraction already produces the data; pre-filling a review form UI is net-new</t>
        </is>
      </c>
    </row>
    <row r="83" ht="30" customHeight="1">
      <c r="A83" s="13" t="n">
        <v>82</v>
      </c>
      <c r="B83" s="14" t="inlineStr">
        <is>
          <t>14. Multi-Party &amp; Milestone Tracking (Lending Co-Pilot)</t>
        </is>
      </c>
      <c r="C83" s="15" t="inlineStr">
        <is>
          <t>Step-by-step milestone tracker UI (Intake -&gt; Doc Verification -&gt; Underwriting -&gt; Closing -&gt; Disbursement)</t>
        </is>
      </c>
      <c r="D83" s="13" t="inlineStr">
        <is>
          <t>Not Started</t>
        </is>
      </c>
      <c r="E83" s="16" t="inlineStr"/>
      <c r="F83" s="17" t="inlineStr">
        <is>
          <t>New status model, beyond the current submitted/needs-review/approved/rejected enum</t>
        </is>
      </c>
    </row>
    <row r="84" ht="30" customHeight="1">
      <c r="A84" s="13" t="n">
        <v>83</v>
      </c>
      <c r="B84" s="14" t="inlineStr">
        <is>
          <t>14. Multi-Party &amp; Milestone Tracking (Lending Co-Pilot)</t>
        </is>
      </c>
      <c r="C84" s="15" t="inlineStr">
        <is>
          <t>Multi-party checklist — per-owner/signer verification status for business loans</t>
        </is>
      </c>
      <c r="D84" s="13" t="inlineStr">
        <is>
          <t>Not Started</t>
        </is>
      </c>
      <c r="E84" s="16" t="inlineStr"/>
      <c r="F84" s="17" t="inlineStr">
        <is>
          <t>Builds on the ownership-disclosure doc type; needs a per-owner sub-record, not just one applicant</t>
        </is>
      </c>
    </row>
    <row r="85" ht="30" customHeight="1">
      <c r="A85" s="13" t="n">
        <v>84</v>
      </c>
      <c r="B85" s="14" t="inlineStr">
        <is>
          <t>14. Multi-Party &amp; Milestone Tracking (Lending Co-Pilot)</t>
        </is>
      </c>
      <c r="C85" s="15" t="inlineStr">
        <is>
          <t>Shared visibility for all parties on one application</t>
        </is>
      </c>
      <c r="D85" s="13" t="inlineStr">
        <is>
          <t>Not Started</t>
        </is>
      </c>
      <c r="E85" s="16" t="inlineStr"/>
      <c r="F85" s="17" t="inlineStr">
        <is>
          <t>Requires multi-user access to a single application — auth model currently ties an application to one applicant email</t>
        </is>
      </c>
    </row>
    <row r="86" ht="30" customHeight="1">
      <c r="A86" s="13" t="n">
        <v>85</v>
      </c>
      <c r="B86" s="14" t="inlineStr">
        <is>
          <t>14. Multi-Party &amp; Milestone Tracking (Lending Co-Pilot)</t>
        </is>
      </c>
      <c r="C86" s="15" t="inlineStr">
        <is>
          <t>Core-readiness / entity-name pre-validator earlier in the flow</t>
        </is>
      </c>
      <c r="D86" s="13" t="inlineStr">
        <is>
          <t>Not Started</t>
        </is>
      </c>
      <c r="E86" s="16" t="inlineStr"/>
      <c r="F86" s="17" t="inlineStr">
        <is>
          <t>Extends the Section 5 business-name check to run at intake, before final closing</t>
        </is>
      </c>
    </row>
    <row r="87" ht="30" customHeight="1">
      <c r="A87" s="13" t="n">
        <v>86</v>
      </c>
      <c r="B87" s="14" t="inlineStr">
        <is>
          <t>15. Predictive Servicing (EarlyCare) — Post-MVP</t>
        </is>
      </c>
      <c r="C87" s="15" t="inlineStr">
        <is>
          <t>Cash-flow dip / pre-delinquency risk detection from transaction history</t>
        </is>
      </c>
      <c r="D87" s="13" t="inlineStr">
        <is>
          <t>Not Started</t>
        </is>
      </c>
      <c r="E87" s="16" t="inlineStr"/>
      <c r="F87" s="17" t="inlineStr">
        <is>
          <t>Different lifecycle stage (servicing, not origination) — needs a transaction-history data model not in the current schema. Recommend as roadmap/vision talking point, not a 4-week build target</t>
        </is>
      </c>
    </row>
    <row r="88" ht="30" customHeight="1">
      <c r="A88" s="13" t="n">
        <v>87</v>
      </c>
      <c r="B88" s="14" t="inlineStr">
        <is>
          <t>15. Predictive Servicing (EarlyCare) — Post-MVP</t>
        </is>
      </c>
      <c r="C88" s="15" t="inlineStr">
        <is>
          <t>Self-service grace period / split-payment offers</t>
        </is>
      </c>
      <c r="D88" s="13" t="inlineStr">
        <is>
          <t>Not Started</t>
        </is>
      </c>
      <c r="E88" s="16" t="inlineStr"/>
      <c r="F88" s="17" t="inlineStr">
        <is>
          <t>Same caveat as above — deprioritize for the MVP</t>
        </is>
      </c>
    </row>
  </sheetData>
  <autoFilter ref="A1:F88"/>
  <conditionalFormatting sqref="D2:D88">
    <cfRule type="expression" priority="1" dxfId="0">
      <formula>$D2="Completed"</formula>
    </cfRule>
    <cfRule type="expression" priority="2" dxfId="1">
      <formula>$D2="In Progress"</formula>
    </cfRule>
    <cfRule type="expression" priority="3" dxfId="2">
      <formula>$D2="Not Started"</formula>
    </cfRule>
  </conditionalFormatting>
  <dataValidations count="1">
    <dataValidation sqref="D2:D88" showDropDown="0" showInputMessage="0" showErrorMessage="0" allowBlank="0" type="list">
      <formula1>"Completed,In Progress,Not Started"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2026-09-11T17:30:42Z</dcterms:created>
  <dcterms:modified xmlns:dcterms="http://purl.org/dc/terms/" xmlns:xsi="http://www.w3.org/2001/XMLSchema-instance" xsi:type="dcterms:W3CDTF">2026-09-11T17:30:42Z</dcterms:modified>
</cp:coreProperties>
</file>