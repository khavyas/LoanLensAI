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asks" sheetId="2" state="visible" r:id="rId2"/>
    <sheet xmlns:r="http://schemas.openxmlformats.org/officeDocument/2006/relationships" name="Test Scenarios" sheetId="3" state="visible" r:id="rId3"/>
    <sheet xmlns:r="http://schemas.openxmlformats.org/officeDocument/2006/relationships" name="Proposal vs Built" sheetId="4" state="visible" r:id="rId4"/>
  </sheets>
  <definedNames>
    <definedName name="_xlnm._FilterDatabase" localSheetId="1" hidden="1">'Tasks'!$A$1:$F$209</definedName>
    <definedName name="_xlnm._FilterDatabase" localSheetId="2" hidden="1">'Test Scenarios'!$A$1:$G$49</definedName>
    <definedName name="_xlnm._FilterDatabase" localSheetId="3" hidden="1">'Proposal vs Built'!$A$1:$E$17</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color rgb="00667085"/>
      <sz val="10"/>
    </font>
    <font>
      <name val="Arial"/>
      <color rgb="00667085"/>
      <sz val="9"/>
    </font>
    <font>
      <name val="Arial"/>
      <b val="1"/>
      <color rgb="000A2540"/>
      <sz val="22"/>
    </font>
    <font>
      <name val="Arial"/>
      <b val="1"/>
      <color rgb="00155EEF"/>
      <sz val="14"/>
    </font>
    <font>
      <name val="Arial"/>
      <color rgb="00667085"/>
      <sz val="11"/>
    </font>
    <font>
      <name val="Arial"/>
      <b val="1"/>
      <color rgb="000A2540"/>
      <sz val="12"/>
    </font>
    <font>
      <name val="Arial"/>
      <i val="1"/>
      <color rgb="00667085"/>
      <sz val="10"/>
    </font>
    <font>
      <name val="Arial"/>
      <b val="1"/>
      <color rgb="00FFFFFF"/>
      <sz val="10"/>
    </font>
    <font>
      <name val="Arial"/>
      <b val="1"/>
      <color rgb="000A2540"/>
      <sz val="14"/>
    </font>
    <font>
      <name val="Arial"/>
      <i val="1"/>
      <color rgb="00667085"/>
      <sz val="9"/>
    </font>
  </fonts>
  <fills count="3">
    <fill>
      <patternFill/>
    </fill>
    <fill>
      <patternFill patternType="gray125"/>
    </fill>
    <fill>
      <patternFill patternType="solid">
        <fgColor rgb="000A2540"/>
      </patternFill>
    </fill>
  </fills>
  <borders count="2">
    <border>
      <left/>
      <right/>
      <top/>
      <bottom/>
      <diagonal/>
    </border>
    <border>
      <left style="thin">
        <color rgb="00E4E9F0"/>
      </left>
      <right style="thin">
        <color rgb="00E4E9F0"/>
      </right>
      <top style="thin">
        <color rgb="00E4E9F0"/>
      </top>
      <bottom style="thin">
        <color rgb="00E4E9F0"/>
      </bottom>
    </border>
  </borders>
  <cellStyleXfs count="1">
    <xf numFmtId="0" fontId="0" fillId="0" borderId="0"/>
  </cellStyleXfs>
  <cellXfs count="19">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applyAlignment="1" pivotButton="0" quotePrefix="0" xfId="0">
      <alignment vertical="top" wrapText="1"/>
    </xf>
    <xf numFmtId="0" fontId="10" fillId="2" borderId="1" applyAlignment="1" pivotButton="0" quotePrefix="0" xfId="0">
      <alignment horizontal="center"/>
    </xf>
    <xf numFmtId="0" fontId="11" fillId="0" borderId="1" applyAlignment="1" pivotButton="0" quotePrefix="0" xfId="0">
      <alignment horizontal="center"/>
    </xf>
    <xf numFmtId="0" fontId="10" fillId="2" borderId="1" applyAlignment="1" pivotButton="0" quotePrefix="0" xfId="0">
      <alignment horizontal="left"/>
    </xf>
    <xf numFmtId="0" fontId="2" fillId="0" borderId="1" pivotButton="0" quotePrefix="0" xfId="0"/>
    <xf numFmtId="0" fontId="2" fillId="0" borderId="1" applyAlignment="1" pivotButton="0" quotePrefix="0" xfId="0">
      <alignment horizontal="center"/>
    </xf>
    <xf numFmtId="0" fontId="1" fillId="2" borderId="1" applyAlignment="1" pivotButton="0" quotePrefix="0" xfId="0">
      <alignment horizontal="center" vertical="center"/>
    </xf>
    <xf numFmtId="0" fontId="1" fillId="2" borderId="1" applyAlignment="1" pivotButton="0" quotePrefix="0" xfId="0">
      <alignment horizontal="left"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3" fillId="0" borderId="1" applyAlignment="1" pivotButton="0" quotePrefix="0" xfId="0">
      <alignment horizontal="left" vertical="top"/>
    </xf>
    <xf numFmtId="0" fontId="4" fillId="0" borderId="1" applyAlignment="1" pivotButton="0" quotePrefix="0" xfId="0">
      <alignment horizontal="left" vertical="top" wrapText="1"/>
    </xf>
    <xf numFmtId="0" fontId="12" fillId="0" borderId="1" applyAlignment="1" pivotButton="0" quotePrefix="0" xfId="0">
      <alignment horizontal="left" vertical="top"/>
    </xf>
  </cellXfs>
  <cellStyles count="1">
    <cellStyle name="Normal" xfId="0" builtinId="0" hidden="0"/>
  </cellStyles>
  <dxfs count="6">
    <dxf>
      <font>
        <name val="Arial"/>
        <b val="1"/>
        <color rgb="00027A48"/>
        <sz val="10"/>
      </font>
      <fill>
        <patternFill patternType="solid">
          <fgColor rgb="00DCFCE7"/>
        </patternFill>
      </fill>
    </dxf>
    <dxf>
      <font>
        <name val="Arial"/>
        <b val="1"/>
        <color rgb="00B45309"/>
        <sz val="10"/>
      </font>
      <fill>
        <patternFill patternType="solid">
          <fgColor rgb="00FEF3C7"/>
        </patternFill>
      </fill>
    </dxf>
    <dxf>
      <font>
        <name val="Arial"/>
        <b val="1"/>
        <color rgb="00475467"/>
        <sz val="10"/>
      </font>
      <fill>
        <patternFill patternType="solid">
          <fgColor rgb="00F1F5F9"/>
        </patternFill>
      </fill>
    </dxf>
    <dxf>
      <fill>
        <patternFill patternType="solid">
          <fgColor rgb="00DCFCE7"/>
        </patternFill>
      </fill>
    </dxf>
    <dxf>
      <fill>
        <patternFill patternType="solid">
          <fgColor rgb="00FEF3C7"/>
        </patternFill>
      </fill>
    </dxf>
    <dxf>
      <fill>
        <patternFill patternType="solid">
          <fgColor rgb="00F1F5F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s>
  <sheetData>
    <row r="1">
      <c r="A1" s="1" t="inlineStr">
        <is>
          <t>LoanLens AI</t>
        </is>
      </c>
    </row>
    <row r="2">
      <c r="A2" s="2" t="inlineStr">
        <is>
          <t>Development Task Tracker</t>
        </is>
      </c>
    </row>
    <row r="4">
      <c r="A4" s="3" t="inlineStr">
        <is>
          <t>FocusNext 2026 — Team "RAG to Riches"</t>
        </is>
      </c>
    </row>
    <row r="5">
      <c r="A5" s="3" t="inlineStr">
        <is>
          <t>Khavya Sakthivel &amp; Sukumar Dhandapani (Development) · Souvik Das (QA) — updated 2026-10-24 (identity, credit, residency and duplicate checks added)</t>
        </is>
      </c>
    </row>
    <row r="6">
      <c r="A6" s="3" t="inlineStr">
        <is>
          <t>Prepared 2026-09-11 · Target: basic MVP in 4 weeks (Week 1 core build, Weeks 2-4 hardening &amp; refinement)</t>
        </is>
      </c>
    </row>
    <row r="8">
      <c r="A8" s="4" t="inlineStr">
        <is>
          <t>How to use this tracker</t>
        </is>
      </c>
    </row>
    <row r="9" ht="60" customHeight="1">
      <c r="A9" s="5" t="inlineStr">
        <is>
          <t>Open the Tasks tab. Filter or sort by Section/Status, put your name in the Owner column for anything you're picking up, and update Status as you go. Sections 13-15 are new feature ideas from pain-point research (Rovo AI, 2026-09-11) — not yet scoped into a sprint, listed here so nothing gets lost; tackle them after the core MVP (Sections 1-12) is demo-ready.</t>
        </is>
      </c>
    </row>
    <row r="11">
      <c r="A11" s="4" t="inlineStr">
        <is>
          <t>Overall progress</t>
        </is>
      </c>
    </row>
    <row r="12">
      <c r="A12" s="6" t="inlineStr">
        <is>
          <t>Completed</t>
        </is>
      </c>
      <c r="B12" s="6" t="inlineStr">
        <is>
          <t>In Progress</t>
        </is>
      </c>
      <c r="C12" s="6" t="inlineStr">
        <is>
          <t>Not Started</t>
        </is>
      </c>
      <c r="D12" s="6" t="inlineStr">
        <is>
          <t>Total</t>
        </is>
      </c>
    </row>
    <row r="13">
      <c r="A13" s="7">
        <f>COUNTIF(Tasks!$D$2:$D$209,"Completed")</f>
        <v/>
      </c>
      <c r="B13" s="7">
        <f>COUNTIF(Tasks!$D$2:$D$209,"In Progress")</f>
        <v/>
      </c>
      <c r="C13" s="7">
        <f>COUNTIF(Tasks!$D$2:$D$209,"Not Started")</f>
        <v/>
      </c>
      <c r="D13" s="7">
        <f>SUM(A13:C13)</f>
        <v/>
      </c>
    </row>
    <row r="16">
      <c r="A16" s="4" t="inlineStr">
        <is>
          <t>By section</t>
        </is>
      </c>
    </row>
    <row r="17">
      <c r="A17" s="8" t="inlineStr">
        <is>
          <t>Section</t>
        </is>
      </c>
      <c r="B17" s="6" t="inlineStr">
        <is>
          <t>Completed</t>
        </is>
      </c>
      <c r="C17" s="6" t="inlineStr">
        <is>
          <t>In Progress</t>
        </is>
      </c>
      <c r="D17" s="6" t="inlineStr">
        <is>
          <t>Not Started</t>
        </is>
      </c>
      <c r="E17" s="6" t="inlineStr">
        <is>
          <t>Total</t>
        </is>
      </c>
    </row>
    <row r="18">
      <c r="A18" s="9" t="inlineStr">
        <is>
          <t>1. Environment &amp; Scaffolding</t>
        </is>
      </c>
      <c r="B18" s="10">
        <f>COUNTIFS(Tasks!$B$2:$B$209,$A18,Tasks!$D$2:$D$209,"Completed")</f>
        <v/>
      </c>
      <c r="C18" s="10">
        <f>COUNTIFS(Tasks!$B$2:$B$209,$A18,Tasks!$D$2:$D$209,"In Progress")</f>
        <v/>
      </c>
      <c r="D18" s="10">
        <f>COUNTIFS(Tasks!$B$2:$B$209,$A18,Tasks!$D$2:$D$209,"Not Started")</f>
        <v/>
      </c>
      <c r="E18" s="10">
        <f>SUM(B18:D18)</f>
        <v/>
      </c>
    </row>
    <row r="19">
      <c r="A19" s="9" t="inlineStr">
        <is>
          <t>2. Authentication &amp; Access Control</t>
        </is>
      </c>
      <c r="B19" s="10">
        <f>COUNTIFS(Tasks!$B$2:$B$209,$A19,Tasks!$D$2:$D$209,"Completed")</f>
        <v/>
      </c>
      <c r="C19" s="10">
        <f>COUNTIFS(Tasks!$B$2:$B$209,$A19,Tasks!$D$2:$D$209,"In Progress")</f>
        <v/>
      </c>
      <c r="D19" s="10">
        <f>COUNTIFS(Tasks!$B$2:$B$209,$A19,Tasks!$D$2:$D$209,"Not Started")</f>
        <v/>
      </c>
      <c r="E19" s="10">
        <f>SUM(B19:D19)</f>
        <v/>
      </c>
    </row>
    <row r="20">
      <c r="A20" s="9" t="inlineStr">
        <is>
          <t>3. Data Model &amp; Database (MongoDB)</t>
        </is>
      </c>
      <c r="B20" s="10">
        <f>COUNTIFS(Tasks!$B$2:$B$209,$A20,Tasks!$D$2:$D$209,"Completed")</f>
        <v/>
      </c>
      <c r="C20" s="10">
        <f>COUNTIFS(Tasks!$B$2:$B$209,$A20,Tasks!$D$2:$D$209,"In Progress")</f>
        <v/>
      </c>
      <c r="D20" s="10">
        <f>COUNTIFS(Tasks!$B$2:$B$209,$A20,Tasks!$D$2:$D$209,"Not Started")</f>
        <v/>
      </c>
      <c r="E20" s="10">
        <f>SUM(B20:D20)</f>
        <v/>
      </c>
    </row>
    <row r="21">
      <c r="A21" s="9" t="inlineStr">
        <is>
          <t>4. Document Intelligence (OCR / AI Extraction)</t>
        </is>
      </c>
      <c r="B21" s="10">
        <f>COUNTIFS(Tasks!$B$2:$B$209,$A21,Tasks!$D$2:$D$209,"Completed")</f>
        <v/>
      </c>
      <c r="C21" s="10">
        <f>COUNTIFS(Tasks!$B$2:$B$209,$A21,Tasks!$D$2:$D$209,"In Progress")</f>
        <v/>
      </c>
      <c r="D21" s="10">
        <f>COUNTIFS(Tasks!$B$2:$B$209,$A21,Tasks!$D$2:$D$209,"Not Started")</f>
        <v/>
      </c>
      <c r="E21" s="10">
        <f>SUM(B21:D21)</f>
        <v/>
      </c>
    </row>
    <row r="22">
      <c r="A22" s="9" t="inlineStr">
        <is>
          <t>5. Cross-Verification Engine</t>
        </is>
      </c>
      <c r="B22" s="10">
        <f>COUNTIFS(Tasks!$B$2:$B$209,$A22,Tasks!$D$2:$D$209,"Completed")</f>
        <v/>
      </c>
      <c r="C22" s="10">
        <f>COUNTIFS(Tasks!$B$2:$B$209,$A22,Tasks!$D$2:$D$209,"In Progress")</f>
        <v/>
      </c>
      <c r="D22" s="10">
        <f>COUNTIFS(Tasks!$B$2:$B$209,$A22,Tasks!$D$2:$D$209,"Not Started")</f>
        <v/>
      </c>
      <c r="E22" s="10">
        <f>SUM(B22:D22)</f>
        <v/>
      </c>
    </row>
    <row r="23">
      <c r="A23" s="9" t="inlineStr">
        <is>
          <t>6. RAG Assistant (Conversational Q&amp;A)</t>
        </is>
      </c>
      <c r="B23" s="10">
        <f>COUNTIFS(Tasks!$B$2:$B$209,$A23,Tasks!$D$2:$D$209,"Completed")</f>
        <v/>
      </c>
      <c r="C23" s="10">
        <f>COUNTIFS(Tasks!$B$2:$B$209,$A23,Tasks!$D$2:$D$209,"In Progress")</f>
        <v/>
      </c>
      <c r="D23" s="10">
        <f>COUNTIFS(Tasks!$B$2:$B$209,$A23,Tasks!$D$2:$D$209,"Not Started")</f>
        <v/>
      </c>
      <c r="E23" s="10">
        <f>SUM(B23:D23)</f>
        <v/>
      </c>
    </row>
    <row r="24">
      <c r="A24" s="9" t="inlineStr">
        <is>
          <t>7. Frontend — Screens &amp; Navigation</t>
        </is>
      </c>
      <c r="B24" s="10">
        <f>COUNTIFS(Tasks!$B$2:$B$209,$A24,Tasks!$D$2:$D$209,"Completed")</f>
        <v/>
      </c>
      <c r="C24" s="10">
        <f>COUNTIFS(Tasks!$B$2:$B$209,$A24,Tasks!$D$2:$D$209,"In Progress")</f>
        <v/>
      </c>
      <c r="D24" s="10">
        <f>COUNTIFS(Tasks!$B$2:$B$209,$A24,Tasks!$D$2:$D$209,"Not Started")</f>
        <v/>
      </c>
      <c r="E24" s="10">
        <f>SUM(B24:D24)</f>
        <v/>
      </c>
    </row>
    <row r="25">
      <c r="A25" s="9" t="inlineStr">
        <is>
          <t>8. Synthetic Demo Data</t>
        </is>
      </c>
      <c r="B25" s="10">
        <f>COUNTIFS(Tasks!$B$2:$B$209,$A25,Tasks!$D$2:$D$209,"Completed")</f>
        <v/>
      </c>
      <c r="C25" s="10">
        <f>COUNTIFS(Tasks!$B$2:$B$209,$A25,Tasks!$D$2:$D$209,"In Progress")</f>
        <v/>
      </c>
      <c r="D25" s="10">
        <f>COUNTIFS(Tasks!$B$2:$B$209,$A25,Tasks!$D$2:$D$209,"Not Started")</f>
        <v/>
      </c>
      <c r="E25" s="10">
        <f>SUM(B25:D25)</f>
        <v/>
      </c>
    </row>
    <row r="26">
      <c r="A26" s="9" t="inlineStr">
        <is>
          <t>9. WhatsApp Integration</t>
        </is>
      </c>
      <c r="B26" s="10">
        <f>COUNTIFS(Tasks!$B$2:$B$209,$A26,Tasks!$D$2:$D$209,"Completed")</f>
        <v/>
      </c>
      <c r="C26" s="10">
        <f>COUNTIFS(Tasks!$B$2:$B$209,$A26,Tasks!$D$2:$D$209,"In Progress")</f>
        <v/>
      </c>
      <c r="D26" s="10">
        <f>COUNTIFS(Tasks!$B$2:$B$209,$A26,Tasks!$D$2:$D$209,"Not Started")</f>
        <v/>
      </c>
      <c r="E26" s="10">
        <f>SUM(B26:D26)</f>
        <v/>
      </c>
    </row>
    <row r="27">
      <c r="A27" s="9" t="inlineStr">
        <is>
          <t>10. Hosting &amp; Deployment</t>
        </is>
      </c>
      <c r="B27" s="10">
        <f>COUNTIFS(Tasks!$B$2:$B$209,$A27,Tasks!$D$2:$D$209,"Completed")</f>
        <v/>
      </c>
      <c r="C27" s="10">
        <f>COUNTIFS(Tasks!$B$2:$B$209,$A27,Tasks!$D$2:$D$209,"In Progress")</f>
        <v/>
      </c>
      <c r="D27" s="10">
        <f>COUNTIFS(Tasks!$B$2:$B$209,$A27,Tasks!$D$2:$D$209,"Not Started")</f>
        <v/>
      </c>
      <c r="E27" s="10">
        <f>SUM(B27:D27)</f>
        <v/>
      </c>
    </row>
    <row r="28">
      <c r="A28" s="9" t="inlineStr">
        <is>
          <t>11. Testing &amp; QA</t>
        </is>
      </c>
      <c r="B28" s="10">
        <f>COUNTIFS(Tasks!$B$2:$B$209,$A28,Tasks!$D$2:$D$209,"Completed")</f>
        <v/>
      </c>
      <c r="C28" s="10">
        <f>COUNTIFS(Tasks!$B$2:$B$209,$A28,Tasks!$D$2:$D$209,"In Progress")</f>
        <v/>
      </c>
      <c r="D28" s="10">
        <f>COUNTIFS(Tasks!$B$2:$B$209,$A28,Tasks!$D$2:$D$209,"Not Started")</f>
        <v/>
      </c>
      <c r="E28" s="10">
        <f>SUM(B28:D28)</f>
        <v/>
      </c>
    </row>
    <row r="29">
      <c r="A29" s="9" t="inlineStr">
        <is>
          <t>12. Documentation</t>
        </is>
      </c>
      <c r="B29" s="10">
        <f>COUNTIFS(Tasks!$B$2:$B$209,$A29,Tasks!$D$2:$D$209,"Completed")</f>
        <v/>
      </c>
      <c r="C29" s="10">
        <f>COUNTIFS(Tasks!$B$2:$B$209,$A29,Tasks!$D$2:$D$209,"In Progress")</f>
        <v/>
      </c>
      <c r="D29" s="10">
        <f>COUNTIFS(Tasks!$B$2:$B$209,$A29,Tasks!$D$2:$D$209,"Not Started")</f>
        <v/>
      </c>
      <c r="E29" s="10">
        <f>SUM(B29:D29)</f>
        <v/>
      </c>
    </row>
    <row r="30">
      <c r="A30" s="9" t="inlineStr">
        <is>
          <t>13. Real-Time Document Validation &amp; Self-Service Re-Request (DocuSense)</t>
        </is>
      </c>
      <c r="B30" s="10">
        <f>COUNTIFS(Tasks!$B$2:$B$209,$A30,Tasks!$D$2:$D$209,"Completed")</f>
        <v/>
      </c>
      <c r="C30" s="10">
        <f>COUNTIFS(Tasks!$B$2:$B$209,$A30,Tasks!$D$2:$D$209,"In Progress")</f>
        <v/>
      </c>
      <c r="D30" s="10">
        <f>COUNTIFS(Tasks!$B$2:$B$209,$A30,Tasks!$D$2:$D$209,"Not Started")</f>
        <v/>
      </c>
      <c r="E30" s="10">
        <f>SUM(B30:D30)</f>
        <v/>
      </c>
    </row>
    <row r="31">
      <c r="A31" s="9" t="inlineStr">
        <is>
          <t>14. Multi-Party &amp; Milestone Tracking (Lending Co-Pilot)</t>
        </is>
      </c>
      <c r="B31" s="10">
        <f>COUNTIFS(Tasks!$B$2:$B$209,$A31,Tasks!$D$2:$D$209,"Completed")</f>
        <v/>
      </c>
      <c r="C31" s="10">
        <f>COUNTIFS(Tasks!$B$2:$B$209,$A31,Tasks!$D$2:$D$209,"In Progress")</f>
        <v/>
      </c>
      <c r="D31" s="10">
        <f>COUNTIFS(Tasks!$B$2:$B$209,$A31,Tasks!$D$2:$D$209,"Not Started")</f>
        <v/>
      </c>
      <c r="E31" s="10">
        <f>SUM(B31:D31)</f>
        <v/>
      </c>
    </row>
    <row r="32">
      <c r="A32" s="9" t="inlineStr">
        <is>
          <t>15. Predictive Servicing (EarlyCare) — Post-MVP</t>
        </is>
      </c>
      <c r="B32" s="10">
        <f>COUNTIFS(Tasks!$B$2:$B$209,$A32,Tasks!$D$2:$D$209,"Completed")</f>
        <v/>
      </c>
      <c r="C32" s="10">
        <f>COUNTIFS(Tasks!$B$2:$B$209,$A32,Tasks!$D$2:$D$209,"In Progress")</f>
        <v/>
      </c>
      <c r="D32" s="10">
        <f>COUNTIFS(Tasks!$B$2:$B$209,$A32,Tasks!$D$2:$D$209,"Not Started")</f>
        <v/>
      </c>
      <c r="E32" s="10">
        <f>SUM(B32:D32)</f>
        <v/>
      </c>
    </row>
    <row r="33">
      <c r="A33" t="inlineStr">
        <is>
          <t>16. Document Authenticity — Digital Forensics &amp; Direct-Source Verification</t>
        </is>
      </c>
      <c r="B33">
        <f>COUNTIFS(Tasks!$B$2:$B$209,$A33,Tasks!$D$2:$D$209,"Completed")</f>
        <v/>
      </c>
      <c r="C33">
        <f>COUNTIFS(Tasks!$B$2:$B$209,$A33,Tasks!$D$2:$D$209,"In Progress")</f>
        <v/>
      </c>
      <c r="D33">
        <f>COUNTIFS(Tasks!$B$2:$B$209,$A33,Tasks!$D$2:$D$209,"Not Started")</f>
        <v/>
      </c>
      <c r="E33">
        <f>SUM(B33:D33)</f>
        <v/>
      </c>
    </row>
    <row r="34">
      <c r="A34" t="inlineStr">
        <is>
          <t>17. Identity, Address &amp; Credit Verification (KYC / Underwriting)</t>
        </is>
      </c>
      <c r="B34">
        <f>COUNTIFS(Tasks!$B$2:$B$209,$A34,Tasks!$D$2:$D$209,"Completed")</f>
        <v/>
      </c>
      <c r="C34">
        <f>COUNTIFS(Tasks!$B$2:$B$209,$A34,Tasks!$D$2:$D$209,"In Progress")</f>
        <v/>
      </c>
      <c r="D34">
        <f>COUNTIFS(Tasks!$B$2:$B$209,$A34,Tasks!$D$2:$D$209,"Not Started")</f>
        <v/>
      </c>
      <c r="E34">
        <f>SUM(B34:D34)</f>
        <v/>
      </c>
    </row>
    <row r="35">
      <c r="A35" t="inlineStr">
        <is>
          <t>18. Loan Decision &amp; Underwriter Exception Workflow</t>
        </is>
      </c>
      <c r="B35">
        <f>COUNTIFS(Tasks!$B$2:$B$209,$A35,Tasks!$D$2:$D$209,"Completed")</f>
        <v/>
      </c>
      <c r="C35">
        <f>COUNTIFS(Tasks!$B$2:$B$209,$A35,Tasks!$D$2:$D$209,"In Progress")</f>
        <v/>
      </c>
      <c r="D35">
        <f>COUNTIFS(Tasks!$B$2:$B$209,$A35,Tasks!$D$2:$D$209,"Not Started")</f>
        <v/>
      </c>
      <c r="E35">
        <f>SUM(B35:D35)</f>
        <v/>
      </c>
    </row>
    <row r="36">
      <c r="A36" t="inlineStr">
        <is>
          <t>19. Proposal Gaps — Promised in Submission, Not Yet Built</t>
        </is>
      </c>
      <c r="B36">
        <f>COUNTIFS(Tasks!$B$2:$B$209,$A36,Tasks!$D$2:$D$209,"Completed")</f>
        <v/>
      </c>
      <c r="C36">
        <f>COUNTIFS(Tasks!$B$2:$B$209,$A36,Tasks!$D$2:$D$209,"In Progress")</f>
        <v/>
      </c>
      <c r="D36">
        <f>COUNTIFS(Tasks!$B$2:$B$209,$A36,Tasks!$D$2:$D$209,"Not Started")</f>
        <v/>
      </c>
      <c r="E36">
        <f>SUM(B36:D36)</f>
        <v/>
      </c>
    </row>
    <row r="37">
      <c r="A37" t="inlineStr">
        <is>
          <t>20. Policy Documents &amp; Policy Page</t>
        </is>
      </c>
      <c r="B37">
        <f>COUNTIFS(Tasks!$B$2:$B$209,$A37,Tasks!$D$2:$D$209,"Completed")</f>
        <v/>
      </c>
      <c r="C37">
        <f>COUNTIFS(Tasks!$B$2:$B$209,$A37,Tasks!$D$2:$D$209,"In Progress")</f>
        <v/>
      </c>
      <c r="D37">
        <f>COUNTIFS(Tasks!$B$2:$B$209,$A37,Tasks!$D$2:$D$209,"Not Started")</f>
        <v/>
      </c>
      <c r="E37">
        <f>SUM(B37:D37)</f>
        <v/>
      </c>
    </row>
  </sheetData>
  <mergeCells count="1">
    <mergeCell ref="A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9"/>
  <sheetViews>
    <sheetView showGridLines="0" workbookViewId="0">
      <pane ySplit="1" topLeftCell="A2" activePane="bottomLeft" state="frozen"/>
      <selection pane="bottomLeft" activeCell="A1" sqref="A1"/>
    </sheetView>
  </sheetViews>
  <sheetFormatPr baseColWidth="8" defaultRowHeight="15"/>
  <cols>
    <col width="5" customWidth="1" min="1" max="1"/>
    <col width="34" customWidth="1" min="2" max="2"/>
    <col width="52" customWidth="1" min="3" max="3"/>
    <col width="14" customWidth="1" min="4" max="4"/>
    <col width="14" customWidth="1" min="5" max="5"/>
    <col width="58" customWidth="1" min="6" max="6"/>
  </cols>
  <sheetData>
    <row r="1" ht="22" customHeight="1">
      <c r="A1" s="11" t="inlineStr">
        <is>
          <t>#</t>
        </is>
      </c>
      <c r="B1" s="12" t="inlineStr">
        <is>
          <t>Section</t>
        </is>
      </c>
      <c r="C1" s="12" t="inlineStr">
        <is>
          <t>Task</t>
        </is>
      </c>
      <c r="D1" s="11" t="inlineStr">
        <is>
          <t>Status</t>
        </is>
      </c>
      <c r="E1" s="12" t="inlineStr">
        <is>
          <t>Owner</t>
        </is>
      </c>
      <c r="F1" s="12" t="inlineStr">
        <is>
          <t>Notes</t>
        </is>
      </c>
    </row>
    <row r="2" ht="30" customHeight="1">
      <c r="A2" s="13" t="n">
        <v>1</v>
      </c>
      <c r="B2" s="14" t="inlineStr">
        <is>
          <t>1. Environment &amp; Scaffolding</t>
        </is>
      </c>
      <c r="C2" s="15" t="inlineStr">
        <is>
          <t>Backend scaffold — Express + Mongoose + dotenv + CORS</t>
        </is>
      </c>
      <c r="D2" s="13" t="inlineStr">
        <is>
          <t>Completed</t>
        </is>
      </c>
      <c r="E2" s="16" t="inlineStr"/>
      <c r="F2" s="17" t="inlineStr">
        <is>
          <t>backend/src/index.js</t>
        </is>
      </c>
    </row>
    <row r="3" ht="30" customHeight="1">
      <c r="A3" s="13" t="n">
        <v>2</v>
      </c>
      <c r="B3" s="14" t="inlineStr">
        <is>
          <t>1. Environment &amp; Scaffolding</t>
        </is>
      </c>
      <c r="C3" s="15" t="inlineStr">
        <is>
          <t>Frontend scaffold — Expo React Native app (web-enabled)</t>
        </is>
      </c>
      <c r="D3" s="13" t="inlineStr">
        <is>
          <t>Completed</t>
        </is>
      </c>
      <c r="E3" s="16" t="inlineStr"/>
      <c r="F3" s="17" t="inlineStr">
        <is>
          <t>frontend/App.js</t>
        </is>
      </c>
    </row>
    <row r="4" ht="30" customHeight="1">
      <c r="A4" s="13" t="n">
        <v>3</v>
      </c>
      <c r="B4" s="14" t="inlineStr">
        <is>
          <t>1. Environment &amp; Scaffolding</t>
        </is>
      </c>
      <c r="C4" s="15" t="inlineStr">
        <is>
          <t>Environment variable templates (.env.example)</t>
        </is>
      </c>
      <c r="D4" s="13" t="inlineStr">
        <is>
          <t>Completed</t>
        </is>
      </c>
      <c r="E4" s="16" t="inlineStr"/>
      <c r="F4" s="17" t="inlineStr">
        <is>
          <t>Both backend/ and frontend/</t>
        </is>
      </c>
    </row>
    <row r="5" ht="30" customHeight="1">
      <c r="A5" s="13" t="n">
        <v>4</v>
      </c>
      <c r="B5" s="14" t="inlineStr">
        <is>
          <t>1. Environment &amp; Scaffolding</t>
        </is>
      </c>
      <c r="C5" s="15" t="inlineStr">
        <is>
          <t>Render Blueprint config (backend web service + frontend static site)</t>
        </is>
      </c>
      <c r="D5" s="13" t="inlineStr">
        <is>
          <t>Completed</t>
        </is>
      </c>
      <c r="E5" s="16" t="inlineStr"/>
      <c r="F5" s="17" t="inlineStr">
        <is>
          <t>render.yaml</t>
        </is>
      </c>
    </row>
    <row r="6" ht="30" customHeight="1">
      <c r="A6" s="13" t="n">
        <v>5</v>
      </c>
      <c r="B6" s="14" t="inlineStr">
        <is>
          <t>1. Environment &amp; Scaffolding</t>
        </is>
      </c>
      <c r="C6" s="15" t="inlineStr">
        <is>
          <t>GitHub repo + Codespaces-compatible workflow</t>
        </is>
      </c>
      <c r="D6" s="13" t="inlineStr">
        <is>
          <t>Completed</t>
        </is>
      </c>
      <c r="E6" s="16" t="inlineStr"/>
      <c r="F6" s="17" t="inlineStr">
        <is>
          <t>No local Node needed — README 'No-local-Node workflow'</t>
        </is>
      </c>
    </row>
    <row r="7" ht="30" customHeight="1">
      <c r="A7" s="13" t="n">
        <v>6</v>
      </c>
      <c r="B7" s="14" t="inlineStr">
        <is>
          <t>2. Authentication &amp; Access Control</t>
        </is>
      </c>
      <c r="C7" s="15" t="inlineStr">
        <is>
          <t>JWT login endpoint (POST /auth/login)</t>
        </is>
      </c>
      <c r="D7" s="13" t="inlineStr">
        <is>
          <t>Completed</t>
        </is>
      </c>
      <c r="E7" s="16" t="inlineStr"/>
      <c r="F7" s="17" t="inlineStr">
        <is>
          <t>backend/src/routes/auth.js</t>
        </is>
      </c>
    </row>
    <row r="8" ht="30" customHeight="1">
      <c r="A8" s="13" t="n">
        <v>7</v>
      </c>
      <c r="B8" s="14" t="inlineStr">
        <is>
          <t>2. Authentication &amp; Access Control</t>
        </is>
      </c>
      <c r="C8" s="15" t="inlineStr">
        <is>
          <t>Auth middleware — token verification on protected routes</t>
        </is>
      </c>
      <c r="D8" s="13" t="inlineStr">
        <is>
          <t>Completed</t>
        </is>
      </c>
      <c r="E8" s="16" t="inlineStr"/>
      <c r="F8" s="17" t="inlineStr">
        <is>
          <t>backend/src/middleware/auth.js</t>
        </is>
      </c>
    </row>
    <row r="9" ht="30" customHeight="1">
      <c r="A9" s="13" t="n">
        <v>8</v>
      </c>
      <c r="B9" s="14" t="inlineStr">
        <is>
          <t>2. Authentication &amp; Access Control</t>
        </is>
      </c>
      <c r="C9" s="15" t="inlineStr">
        <is>
          <t>Officer vs. borrower role-based data scoping</t>
        </is>
      </c>
      <c r="D9" s="13" t="inlineStr">
        <is>
          <t>Completed</t>
        </is>
      </c>
      <c r="E9" s="16" t="inlineStr"/>
      <c r="F9" s="17" t="inlineStr">
        <is>
          <t>Officers see all applications; borrowers see only their own — routes/applications.js</t>
        </is>
      </c>
    </row>
    <row r="10" ht="30" customHeight="1">
      <c r="A10" s="13" t="n">
        <v>9</v>
      </c>
      <c r="B10" s="14" t="inlineStr">
        <is>
          <t>2. Authentication &amp; Access Control</t>
        </is>
      </c>
      <c r="C10" s="15" t="inlineStr">
        <is>
          <t>Login screen + session persistence (AsyncStorage)</t>
        </is>
      </c>
      <c r="D10" s="13" t="inlineStr">
        <is>
          <t>Completed</t>
        </is>
      </c>
      <c r="E10" s="16" t="inlineStr"/>
      <c r="F10" s="17" t="inlineStr">
        <is>
          <t>LoginScreen.js, AuthContext.js</t>
        </is>
      </c>
    </row>
    <row r="11" ht="30" customHeight="1">
      <c r="A11" s="13" t="n">
        <v>10</v>
      </c>
      <c r="B11" s="14" t="inlineStr">
        <is>
          <t>2. Authentication &amp; Access Control</t>
        </is>
      </c>
      <c r="C11" s="15" t="inlineStr">
        <is>
          <t>Self-service registration (POST /auth/register)</t>
        </is>
      </c>
      <c r="D11" s="13" t="inlineStr">
        <is>
          <t>Completed</t>
        </is>
      </c>
      <c r="E11" s="16" t="inlineStr"/>
      <c r="F11" s="17" t="inlineStr">
        <is>
          <t>No email verification — synthetic-data demo, not real bank onboarding. Lets teammates spin up their own officer/borrower test accounts instead of needing seeded ones</t>
        </is>
      </c>
    </row>
    <row r="12" ht="30" customHeight="1">
      <c r="A12" s="13" t="n">
        <v>11</v>
      </c>
      <c r="B12" s="14" t="inlineStr">
        <is>
          <t>2. Authentication &amp; Access Control</t>
        </is>
      </c>
      <c r="C12" s="15" t="inlineStr">
        <is>
          <t>Password reset</t>
        </is>
      </c>
      <c r="D12" s="13" t="inlineStr">
        <is>
          <t>Not Started</t>
        </is>
      </c>
      <c r="E12" s="16" t="inlineStr"/>
      <c r="F12" s="17" t="inlineStr">
        <is>
          <t>Out of scope for demo</t>
        </is>
      </c>
    </row>
    <row r="13" ht="30" customHeight="1">
      <c r="A13" s="13" t="n">
        <v>12</v>
      </c>
      <c r="B13" s="14" t="inlineStr">
        <is>
          <t>3. Data Model &amp; Database (MongoDB)</t>
        </is>
      </c>
      <c r="C13" s="15" t="inlineStr">
        <is>
          <t>MongoDB Atlas connection (Mongoose)</t>
        </is>
      </c>
      <c r="D13" s="13" t="inlineStr">
        <is>
          <t>Completed</t>
        </is>
      </c>
      <c r="E13" s="16" t="inlineStr"/>
      <c r="F13" s="17" t="inlineStr">
        <is>
          <t>backend/src/config/db.js</t>
        </is>
      </c>
    </row>
    <row r="14" ht="30" customHeight="1">
      <c r="A14" s="13" t="n">
        <v>13</v>
      </c>
      <c r="B14" s="14" t="inlineStr">
        <is>
          <t>3. Data Model &amp; Database (MongoDB)</t>
        </is>
      </c>
      <c r="C14" s="15" t="inlineStr">
        <is>
          <t>User model</t>
        </is>
      </c>
      <c r="D14" s="13" t="inlineStr">
        <is>
          <t>Completed</t>
        </is>
      </c>
      <c r="E14" s="16" t="inlineStr"/>
      <c r="F14" s="17" t="inlineStr">
        <is>
          <t>models/User.js</t>
        </is>
      </c>
    </row>
    <row r="15" ht="30" customHeight="1">
      <c r="A15" s="13" t="n">
        <v>14</v>
      </c>
      <c r="B15" s="14" t="inlineStr">
        <is>
          <t>3. Data Model &amp; Database (MongoDB)</t>
        </is>
      </c>
      <c r="C15" s="15" t="inlineStr">
        <is>
          <t>Application model</t>
        </is>
      </c>
      <c r="D15" s="13" t="inlineStr">
        <is>
          <t>Completed</t>
        </is>
      </c>
      <c r="E15" s="16" t="inlineStr"/>
      <c r="F15" s="17" t="inlineStr">
        <is>
          <t>Supports auto-loan, personal-loan, small-business-loan — models/Application.js</t>
        </is>
      </c>
    </row>
    <row r="16" ht="30" customHeight="1">
      <c r="A16" s="13" t="n">
        <v>15</v>
      </c>
      <c r="B16" s="14" t="inlineStr">
        <is>
          <t>3. Data Model &amp; Database (MongoDB)</t>
        </is>
      </c>
      <c r="C16" s="15" t="inlineStr">
        <is>
          <t>Document model (upload + verification results)</t>
        </is>
      </c>
      <c r="D16" s="13" t="inlineStr">
        <is>
          <t>Completed</t>
        </is>
      </c>
      <c r="E16" s="16" t="inlineStr"/>
      <c r="F16" s="17" t="inlineStr">
        <is>
          <t>models/Document.js</t>
        </is>
      </c>
    </row>
    <row r="17" ht="30" customHeight="1">
      <c r="A17" s="13" t="n">
        <v>16</v>
      </c>
      <c r="B17" s="14" t="inlineStr">
        <is>
          <t>3. Data Model &amp; Database (MongoDB)</t>
        </is>
      </c>
      <c r="C17" s="15" t="inlineStr">
        <is>
          <t>PolicyChunk model (RAG corpus storage)</t>
        </is>
      </c>
      <c r="D17" s="13" t="inlineStr">
        <is>
          <t>Completed</t>
        </is>
      </c>
      <c r="E17" s="16" t="inlineStr"/>
      <c r="F17" s="17" t="inlineStr">
        <is>
          <t>models/PolicyChunk.js</t>
        </is>
      </c>
    </row>
    <row r="18" ht="30" customHeight="1">
      <c r="A18" s="13" t="n">
        <v>17</v>
      </c>
      <c r="B18" s="14" t="inlineStr">
        <is>
          <t>3. Data Model &amp; Database (MongoDB)</t>
        </is>
      </c>
      <c r="C18" s="15" t="inlineStr">
        <is>
          <t>Seed script — demo users &amp; applications</t>
        </is>
      </c>
      <c r="D18" s="13" t="inlineStr">
        <is>
          <t>Completed</t>
        </is>
      </c>
      <c r="E18" s="16" t="inlineStr"/>
      <c r="F18" s="17" t="inlineStr">
        <is>
          <t>scripts/seed.js — extended with the small-business scenario</t>
        </is>
      </c>
    </row>
    <row r="19" ht="30" customHeight="1">
      <c r="A19" s="13" t="n">
        <v>18</v>
      </c>
      <c r="B19" s="14" t="inlineStr">
        <is>
          <t>3. Data Model &amp; Database (MongoDB)</t>
        </is>
      </c>
      <c r="C19" s="15" t="inlineStr">
        <is>
          <t>Policy ingestion script (chunks policy markdown into PolicyChunk)</t>
        </is>
      </c>
      <c r="D19" s="13" t="inlineStr">
        <is>
          <t>Completed</t>
        </is>
      </c>
      <c r="E19" s="16" t="inlineStr"/>
      <c r="F19" s="17" t="inlineStr">
        <is>
          <t>scripts/ingestPolicies.js</t>
        </is>
      </c>
    </row>
    <row r="20" ht="30" customHeight="1">
      <c r="A20" s="13" t="n">
        <v>19</v>
      </c>
      <c r="B20" s="14" t="inlineStr">
        <is>
          <t>3. Data Model &amp; Database (MongoDB)</t>
        </is>
      </c>
      <c r="C20" s="15" t="inlineStr">
        <is>
          <t>Borrower self-service loan application intake (POST /applications)</t>
        </is>
      </c>
      <c r="D20" s="13" t="inlineStr">
        <is>
          <t>Completed</t>
        </is>
      </c>
      <c r="E20" s="16" t="inlineStr"/>
      <c r="F20" s="17" t="inlineStr">
        <is>
          <t>A registered borrower can apply for a loan directly — sets requiredDocTypes from the shared config, borrower-only (officers don't file applications for themselves here)</t>
        </is>
      </c>
    </row>
    <row r="21" ht="30" customHeight="1">
      <c r="A21" s="13" t="n">
        <v>20</v>
      </c>
      <c r="B21" s="14" t="inlineStr">
        <is>
          <t>3. Data Model &amp; Database (MongoDB)</t>
        </is>
      </c>
      <c r="C21" s="15" t="inlineStr">
        <is>
          <t>Shared required-documents config (dedupe)</t>
        </is>
      </c>
      <c r="D21" s="13" t="inlineStr">
        <is>
          <t>Completed</t>
        </is>
      </c>
      <c r="E21" s="16" t="inlineStr"/>
      <c r="F21" s="17" t="inlineStr">
        <is>
          <t>config/requiredDocs.js — was duplicated across seed.js and admin.js; now also used by the new application-intake route</t>
        </is>
      </c>
    </row>
    <row r="22" ht="30" customHeight="1">
      <c r="A22" s="13" t="n">
        <v>21</v>
      </c>
      <c r="B22" s="14" t="inlineStr">
        <is>
          <t>3. Data Model &amp; Database (MongoDB)</t>
        </is>
      </c>
      <c r="C22" s="15" t="inlineStr">
        <is>
          <t>Dana Whitfield borrower login added to seed data</t>
        </is>
      </c>
      <c r="D22" s="13" t="inlineStr">
        <is>
          <t>Completed</t>
        </is>
      </c>
      <c r="E22" s="16" t="inlineStr"/>
      <c r="F22" s="17" t="inlineStr">
        <is>
          <t>So the small-business flagship scenario can be demoed as an actual borrower self-service session, not just via the officer login</t>
        </is>
      </c>
    </row>
    <row r="23" ht="30" customHeight="1">
      <c r="A23" s="13" t="n">
        <v>22</v>
      </c>
      <c r="B23" s="14" t="inlineStr">
        <is>
          <t>3. Data Model &amp; Database (MongoDB)</t>
        </is>
      </c>
      <c r="C23" s="15" t="inlineStr">
        <is>
          <t>Date of birth + 18-or-older check on application intake</t>
        </is>
      </c>
      <c r="D23" s="13" t="inlineStr">
        <is>
          <t>Completed</t>
        </is>
      </c>
      <c r="E23" s="16" t="inlineStr"/>
      <c r="F23" s="17" t="inlineStr">
        <is>
          <t>Grounded in Rovo research on Apiture's real DAO intake flow — every product policy already stated '18 or older' but nothing checked it, since there was no DOB field at all before this</t>
        </is>
      </c>
    </row>
    <row r="24" ht="30" customHeight="1">
      <c r="A24" s="13" t="n">
        <v>23</v>
      </c>
      <c r="B24" s="14" t="inlineStr">
        <is>
          <t>3. Data Model &amp; Database (MongoDB)</t>
        </is>
      </c>
      <c r="C24" s="15" t="inlineStr">
        <is>
          <t>E-sign / credit-pull consent capture on application intake</t>
        </is>
      </c>
      <c r="D24" s="13" t="inlineStr">
        <is>
          <t>Completed</t>
        </is>
      </c>
      <c r="E24" s="16" t="inlineStr"/>
      <c r="F24" s="17" t="inlineStr">
        <is>
          <t>consentAcceptedAt on Application — matches the 'Disclosures &amp; Submit' step found in every real DAO intake flow Rovo surfaced</t>
        </is>
      </c>
    </row>
    <row r="25" ht="30" customHeight="1">
      <c r="A25" s="13" t="n">
        <v>24</v>
      </c>
      <c r="B25" s="14" t="inlineStr">
        <is>
          <t>4. Document Intelligence (OCR / AI Extraction)</t>
        </is>
      </c>
      <c r="C25" s="15" t="inlineStr">
        <is>
          <t>Claude vision classify + extract (single API call, no separate OCR service)</t>
        </is>
      </c>
      <c r="D25" s="13" t="inlineStr">
        <is>
          <t>Completed</t>
        </is>
      </c>
      <c r="E25" s="16" t="inlineStr"/>
      <c r="F25" s="17" t="inlineStr">
        <is>
          <t>services/extraction.js</t>
        </is>
      </c>
    </row>
    <row r="26" ht="30" customHeight="1">
      <c r="A26" s="13" t="n">
        <v>25</v>
      </c>
      <c r="B26" s="14" t="inlineStr">
        <is>
          <t>4. Document Intelligence (OCR / AI Extraction)</t>
        </is>
      </c>
      <c r="C26" s="15" t="inlineStr">
        <is>
          <t>Consumer document types — pay stub, W-2, bank statement, driver's license</t>
        </is>
      </c>
      <c r="D26" s="13" t="inlineStr">
        <is>
          <t>Completed</t>
        </is>
      </c>
      <c r="E26" s="16" t="inlineStr"/>
      <c r="F26" s="17" t="inlineStr"/>
    </row>
    <row r="27" ht="30" customHeight="1">
      <c r="A27" s="13" t="n">
        <v>26</v>
      </c>
      <c r="B27" s="14" t="inlineStr">
        <is>
          <t>4. Document Intelligence (OCR / AI Extraction)</t>
        </is>
      </c>
      <c r="C27" s="15" t="inlineStr">
        <is>
          <t>Small-business document types — tax return, personal financial statement, business license, ownership disclosure</t>
        </is>
      </c>
      <c r="D27" s="13" t="inlineStr">
        <is>
          <t>Completed</t>
        </is>
      </c>
      <c r="E27" s="16" t="inlineStr"/>
      <c r="F27" s="17" t="inlineStr">
        <is>
          <t>extraction.js prompt + fields extended</t>
        </is>
      </c>
    </row>
    <row r="28" ht="30" customHeight="1">
      <c r="A28" s="13" t="n">
        <v>27</v>
      </c>
      <c r="B28" s="14" t="inlineStr">
        <is>
          <t>4. Document Intelligence (OCR / AI Extraction)</t>
        </is>
      </c>
      <c r="C28" s="15" t="inlineStr">
        <is>
          <t>Document upload endpoint (multer, 10MB limit)</t>
        </is>
      </c>
      <c r="D28" s="13" t="inlineStr">
        <is>
          <t>Completed</t>
        </is>
      </c>
      <c r="E28" s="16" t="inlineStr"/>
      <c r="F28" s="17" t="inlineStr">
        <is>
          <t>routes/documents.js</t>
        </is>
      </c>
    </row>
    <row r="29" ht="30" customHeight="1">
      <c r="A29" s="13" t="n">
        <v>28</v>
      </c>
      <c r="B29" s="14" t="inlineStr">
        <is>
          <t>4. Document Intelligence (OCR / AI Extraction)</t>
        </is>
      </c>
      <c r="C29" s="15" t="inlineStr">
        <is>
          <t>Uploaded file bytes stored (fileData/mimeType on Document)</t>
        </is>
      </c>
      <c r="D29" s="13" t="inlineStr">
        <is>
          <t>Completed</t>
        </is>
      </c>
      <c r="E29" s="16" t="inlineStr"/>
      <c r="F29" s="17" t="inlineStr">
        <is>
          <t>Previously the temp file was deleted right after extraction with no copy kept anywhere — there was no way to check what you'd actually uploaded once processed</t>
        </is>
      </c>
    </row>
    <row r="30" ht="30" customHeight="1">
      <c r="A30" s="13" t="n">
        <v>29</v>
      </c>
      <c r="B30" s="14" t="inlineStr">
        <is>
          <t>4. Document Intelligence (OCR / AI Extraction)</t>
        </is>
      </c>
      <c r="C30" s="15" t="inlineStr">
        <is>
          <t>GET /documents/:id/file — preview/download the original upload</t>
        </is>
      </c>
      <c r="D30" s="13" t="inlineStr">
        <is>
          <t>Completed</t>
        </is>
      </c>
      <c r="E30" s="16" t="inlineStr"/>
      <c r="F30" s="17" t="inlineStr">
        <is>
          <t>Served inline with correct Content-Type; excluded from the main application/list fetch responses (.select('-fileData')) so those payloads don't balloon with binary data</t>
        </is>
      </c>
    </row>
    <row r="31" ht="30" customHeight="1">
      <c r="A31" s="13" t="n">
        <v>30</v>
      </c>
      <c r="B31" s="14" t="inlineStr">
        <is>
          <t>4. Document Intelligence (OCR / AI Extraction)</t>
        </is>
      </c>
      <c r="C31" s="15" t="inlineStr">
        <is>
          <t>DELETE /documents/:id — remove a document outright</t>
        </is>
      </c>
      <c r="D31" s="13" t="inlineStr">
        <is>
          <t>Completed</t>
        </is>
      </c>
      <c r="E31" s="16" t="inlineStr"/>
      <c r="F31" s="17" t="inlineStr">
        <is>
          <t>Distinct from a targeted re-upload (which supersedes and keeps the old one for audit trail) — this actually removes it; the required item goes back to 'missing'</t>
        </is>
      </c>
    </row>
    <row r="32" ht="30" customHeight="1">
      <c r="A32" s="13" t="n">
        <v>31</v>
      </c>
      <c r="B32" s="14" t="inlineStr">
        <is>
          <t>4. Document Intelligence (OCR / AI Extraction)</t>
        </is>
      </c>
      <c r="C32" s="15" t="inlineStr">
        <is>
          <t>Confidence scoring + low-confidence to human review routing</t>
        </is>
      </c>
      <c r="D32" s="13" t="inlineStr">
        <is>
          <t>Completed</t>
        </is>
      </c>
      <c r="E32" s="16" t="inlineStr"/>
      <c r="F32" s="17" t="inlineStr">
        <is>
          <t>services/verification.js</t>
        </is>
      </c>
    </row>
    <row r="33" ht="30" customHeight="1">
      <c r="A33" s="13" t="n">
        <v>32</v>
      </c>
      <c r="B33" s="14" t="inlineStr">
        <is>
          <t>4. Document Intelligence (OCR / AI Extraction)</t>
        </is>
      </c>
      <c r="C33" s="15" t="inlineStr">
        <is>
          <t>Extraction accuracy tuning against real-world-style documents</t>
        </is>
      </c>
      <c r="D33" s="13" t="inlineStr">
        <is>
          <t>Not Started</t>
        </is>
      </c>
      <c r="E33" s="16" t="inlineStr"/>
      <c r="F33" s="17" t="inlineStr">
        <is>
          <t>Only validated against synthetic generated images so far</t>
        </is>
      </c>
    </row>
    <row r="34" ht="30" customHeight="1">
      <c r="A34" s="13" t="n">
        <v>33</v>
      </c>
      <c r="B34" s="14" t="inlineStr">
        <is>
          <t>4. Document Intelligence (OCR / AI Extraction)</t>
        </is>
      </c>
      <c r="C34" s="15" t="inlineStr">
        <is>
          <t>MOCK_AI bypass — canned extraction results, no Anthropic API call</t>
        </is>
      </c>
      <c r="D34" s="13" t="inlineStr">
        <is>
          <t>Completed</t>
        </is>
      </c>
      <c r="E34" s="16" t="inlineStr"/>
      <c r="F34" s="17" t="inlineStr">
        <is>
          <t>services/mockFixtures.js + extraction.js/rag.js. Added when ANTHROPIC_API_KEY hit a zero credit-balance error blocking all testing — lets verification/live-exception/status-transition testing continue independent of API billing state. Off by default; must not be left on for the real demo</t>
        </is>
      </c>
    </row>
    <row r="35" ht="30" customHeight="1">
      <c r="A35" s="13" t="n">
        <v>34</v>
      </c>
      <c r="B35" s="14" t="inlineStr">
        <is>
          <t>5. Cross-Verification Engine</t>
        </is>
      </c>
      <c r="C35" s="15" t="inlineStr">
        <is>
          <t>Deterministic rule engine (not LLM — explainable/auditable)</t>
        </is>
      </c>
      <c r="D35" s="13" t="inlineStr">
        <is>
          <t>Completed</t>
        </is>
      </c>
      <c r="E35" s="16" t="inlineStr"/>
      <c r="F35" s="17" t="inlineStr">
        <is>
          <t>services/verification.js</t>
        </is>
      </c>
    </row>
    <row r="36" ht="30" customHeight="1">
      <c r="A36" s="13" t="n">
        <v>35</v>
      </c>
      <c r="B36" s="14" t="inlineStr">
        <is>
          <t>5. Cross-Verification Engine</t>
        </is>
      </c>
      <c r="C36" s="15" t="inlineStr">
        <is>
          <t>Name match check</t>
        </is>
      </c>
      <c r="D36" s="13" t="inlineStr">
        <is>
          <t>Completed</t>
        </is>
      </c>
      <c r="E36" s="16" t="inlineStr"/>
      <c r="F36" s="17" t="inlineStr"/>
    </row>
    <row r="37" ht="30" customHeight="1">
      <c r="A37" s="13" t="n">
        <v>36</v>
      </c>
      <c r="B37" s="14" t="inlineStr">
        <is>
          <t>5. Cross-Verification Engine</t>
        </is>
      </c>
      <c r="C37" s="15" t="inlineStr">
        <is>
          <t>Income match check (5% tolerance)</t>
        </is>
      </c>
      <c r="D37" s="13" t="inlineStr">
        <is>
          <t>Completed</t>
        </is>
      </c>
      <c r="E37" s="16" t="inlineStr"/>
      <c r="F37" s="17" t="inlineStr"/>
    </row>
    <row r="38" ht="30" customHeight="1">
      <c r="A38" s="13" t="n">
        <v>37</v>
      </c>
      <c r="B38" s="14" t="inlineStr">
        <is>
          <t>5. Cross-Verification Engine</t>
        </is>
      </c>
      <c r="C38" s="15" t="inlineStr">
        <is>
          <t>Employer match check</t>
        </is>
      </c>
      <c r="D38" s="13" t="inlineStr">
        <is>
          <t>Completed</t>
        </is>
      </c>
      <c r="E38" s="16" t="inlineStr"/>
      <c r="F38" s="17" t="inlineStr"/>
    </row>
    <row r="39" ht="30" customHeight="1">
      <c r="A39" s="13" t="n">
        <v>38</v>
      </c>
      <c r="B39" s="14" t="inlineStr">
        <is>
          <t>5. Cross-Verification Engine</t>
        </is>
      </c>
      <c r="C39" s="15" t="inlineStr">
        <is>
          <t>SSN (last 4) match check</t>
        </is>
      </c>
      <c r="D39" s="13" t="inlineStr">
        <is>
          <t>Completed</t>
        </is>
      </c>
      <c r="E39" s="16" t="inlineStr"/>
      <c r="F39" s="17" t="inlineStr"/>
    </row>
    <row r="40" ht="30" customHeight="1">
      <c r="A40" s="13" t="n">
        <v>39</v>
      </c>
      <c r="B40" s="14" t="inlineStr">
        <is>
          <t>5. Cross-Verification Engine</t>
        </is>
      </c>
      <c r="C40" s="15" t="inlineStr">
        <is>
          <t>Business name / DBA match check</t>
        </is>
      </c>
      <c r="D40" s="13" t="inlineStr">
        <is>
          <t>Completed</t>
        </is>
      </c>
      <c r="E40" s="16" t="inlineStr"/>
      <c r="F40" s="17" t="inlineStr">
        <is>
          <t>Demonstrates the entity-name-mismatch pattern found in production loan-servicing tickets</t>
        </is>
      </c>
    </row>
    <row r="41" ht="30" customHeight="1">
      <c r="A41" s="13" t="n">
        <v>40</v>
      </c>
      <c r="B41" s="14" t="inlineStr">
        <is>
          <t>5. Cross-Verification Engine</t>
        </is>
      </c>
      <c r="C41" s="15" t="inlineStr">
        <is>
          <t>Annual business revenue match check</t>
        </is>
      </c>
      <c r="D41" s="13" t="inlineStr">
        <is>
          <t>Completed</t>
        </is>
      </c>
      <c r="E41" s="16" t="inlineStr"/>
      <c r="F41" s="17" t="inlineStr"/>
    </row>
    <row r="42" ht="30" customHeight="1">
      <c r="A42" s="13" t="n">
        <v>41</v>
      </c>
      <c r="B42" s="14" t="inlineStr">
        <is>
          <t>5. Cross-Verification Engine</t>
        </is>
      </c>
      <c r="C42" s="15" t="inlineStr">
        <is>
          <t>Missing-document detection</t>
        </is>
      </c>
      <c r="D42" s="13" t="inlineStr">
        <is>
          <t>Completed</t>
        </is>
      </c>
      <c r="E42" s="16" t="inlineStr"/>
      <c r="F42" s="17" t="inlineStr">
        <is>
          <t>missingDocuments() in verification.js</t>
        </is>
      </c>
    </row>
    <row r="43" ht="30" customHeight="1">
      <c r="A43" s="13" t="n">
        <v>42</v>
      </c>
      <c r="B43" s="14" t="inlineStr">
        <is>
          <t>5. Cross-Verification Engine</t>
        </is>
      </c>
      <c r="C43" s="15" t="inlineStr">
        <is>
          <t>Requested-amount affordability check (auto-loan, personal-loan, small-business-loan)</t>
        </is>
      </c>
      <c r="D43" s="13" t="inlineStr">
        <is>
          <t>Completed</t>
        </is>
      </c>
      <c r="E43" s="16" t="inlineStr"/>
      <c r="F43" s="17" t="inlineStr">
        <is>
          <t>New — compares requestedAmount against a simplified income/revenue-based estimate; flags as Warning, never auto-declines. Not a real credit/DSCR calculation</t>
        </is>
      </c>
    </row>
    <row r="44" ht="30" customHeight="1">
      <c r="A44" s="13" t="n">
        <v>43</v>
      </c>
      <c r="B44" s="14" t="inlineStr">
        <is>
          <t>5. Cross-Verification Engine</t>
        </is>
      </c>
      <c r="C44" s="15" t="inlineStr">
        <is>
          <t>Warning-level flags surface at the application list level, not just inside document detail</t>
        </is>
      </c>
      <c r="D44" s="13" t="inlineStr">
        <is>
          <t>Completed</t>
        </is>
      </c>
      <c r="E44" s="16" t="inlineStr"/>
      <c r="F44" s="17" t="inlineStr">
        <is>
          <t>Fixed today — routes/documents.js previously only bumped application status to Needs Review on a hard Mismatch, so an affordability warning was invisible in the officer's list view</t>
        </is>
      </c>
    </row>
    <row r="45" ht="30" customHeight="1">
      <c r="A45" s="13" t="n">
        <v>44</v>
      </c>
      <c r="B45" s="14" t="inlineStr">
        <is>
          <t>5. Cross-Verification Engine</t>
        </is>
      </c>
      <c r="C45" s="15" t="inlineStr">
        <is>
          <t>US currency formatting fixed regardless of server/browser locale</t>
        </is>
      </c>
      <c r="D45" s="13" t="inlineStr">
        <is>
          <t>Completed</t>
        </is>
      </c>
      <c r="E45" s="16" t="inlineStr"/>
      <c r="F45" s="17" t="inlineStr">
        <is>
          <t>toLocaleString() was rendering $3,40,000-style grouping on non-US locales; forced to 'en-US' across backend and frontend</t>
        </is>
      </c>
    </row>
    <row r="46" ht="30" customHeight="1">
      <c r="A46" s="13" t="n">
        <v>45</v>
      </c>
      <c r="B46" s="14" t="inlineStr">
        <is>
          <t>5. Cross-Verification Engine</t>
        </is>
      </c>
      <c r="C46" s="15" t="inlineStr">
        <is>
          <t>One-click 'request missing document' email to borrower</t>
        </is>
      </c>
      <c r="D46" s="13" t="inlineStr">
        <is>
          <t>Completed</t>
        </is>
      </c>
      <c r="E46" s="16" t="inlineStr"/>
      <c r="F46" s="17" t="inlineStr">
        <is>
          <t>Superseded by the richer in-app live-exception + targeted self-service re-upload flow — see Section 13. No email/SMS needed; the borrower sees and fixes it directly in the app</t>
        </is>
      </c>
    </row>
    <row r="47" ht="30" customHeight="1">
      <c r="A47" s="13" t="n">
        <v>46</v>
      </c>
      <c r="B47" s="14" t="inlineStr">
        <is>
          <t>6. RAG Assistant (Conversational Q&amp;A)</t>
        </is>
      </c>
      <c r="C47" s="15" t="inlineStr">
        <is>
          <t>Policy corpus grounding (full corpus in context — no vector DB yet)</t>
        </is>
      </c>
      <c r="D47" s="13" t="inlineStr">
        <is>
          <t>Completed</t>
        </is>
      </c>
      <c r="E47" s="16" t="inlineStr"/>
      <c r="F47" s="17" t="inlineStr">
        <is>
          <t>services/rag.js</t>
        </is>
      </c>
    </row>
    <row r="48" ht="30" customHeight="1">
      <c r="A48" s="13" t="n">
        <v>47</v>
      </c>
      <c r="B48" s="14" t="inlineStr">
        <is>
          <t>6. RAG Assistant (Conversational Q&amp;A)</t>
        </is>
      </c>
      <c r="C48" s="15" t="inlineStr">
        <is>
          <t>Citation / source attribution on every answer</t>
        </is>
      </c>
      <c r="D48" s="13" t="inlineStr">
        <is>
          <t>Completed</t>
        </is>
      </c>
      <c r="E48" s="16" t="inlineStr"/>
      <c r="F48" s="17" t="inlineStr"/>
    </row>
    <row r="49" ht="30" customHeight="1">
      <c r="A49" s="13" t="n">
        <v>48</v>
      </c>
      <c r="B49" s="14" t="inlineStr">
        <is>
          <t>6. RAG Assistant (Conversational Q&amp;A)</t>
        </is>
      </c>
      <c r="C49" s="15" t="inlineStr">
        <is>
          <t>Role-aware answers (officer vs. borrower)</t>
        </is>
      </c>
      <c r="D49" s="13" t="inlineStr">
        <is>
          <t>Completed</t>
        </is>
      </c>
      <c r="E49" s="16" t="inlineStr"/>
      <c r="F49" s="17" t="inlineStr"/>
    </row>
    <row r="50" ht="30" customHeight="1">
      <c r="A50" s="13" t="n">
        <v>49</v>
      </c>
      <c r="B50" s="14" t="inlineStr">
        <is>
          <t>6. RAG Assistant (Conversational Q&amp;A)</t>
        </is>
      </c>
      <c r="C50" s="15" t="inlineStr">
        <is>
          <t>Refusal behavior for out-of-corpus questions (no invented rates/policy)</t>
        </is>
      </c>
      <c r="D50" s="13" t="inlineStr">
        <is>
          <t>Completed</t>
        </is>
      </c>
      <c r="E50" s="16" t="inlineStr"/>
      <c r="F50" s="17" t="inlineStr">
        <is>
          <t>Validated in data/seed/test-questions.md</t>
        </is>
      </c>
    </row>
    <row r="51" ht="30" customHeight="1">
      <c r="A51" s="13" t="n">
        <v>50</v>
      </c>
      <c r="B51" s="14" t="inlineStr">
        <is>
          <t>6. RAG Assistant (Conversational Q&amp;A)</t>
        </is>
      </c>
      <c r="C51" s="15" t="inlineStr">
        <is>
          <t>Small-business loan Q&amp;A coverage</t>
        </is>
      </c>
      <c r="D51" s="13" t="inlineStr">
        <is>
          <t>Completed</t>
        </is>
      </c>
      <c r="E51" s="16" t="inlineStr"/>
      <c r="F51" s="17" t="inlineStr">
        <is>
          <t>test-questions.md items 19-23</t>
        </is>
      </c>
    </row>
    <row r="52" ht="30" customHeight="1">
      <c r="A52" s="13" t="n">
        <v>51</v>
      </c>
      <c r="B52" s="14" t="inlineStr">
        <is>
          <t>6. RAG Assistant (Conversational Q&amp;A)</t>
        </is>
      </c>
      <c r="C52" s="15" t="inlineStr">
        <is>
          <t>WhatsApp channel for the assistant</t>
        </is>
      </c>
      <c r="D52" s="13" t="inlineStr">
        <is>
          <t>Not Started</t>
        </is>
      </c>
      <c r="E52" s="16" t="inlineStr"/>
      <c r="F52" s="17" t="inlineStr">
        <is>
          <t>See Section 9</t>
        </is>
      </c>
    </row>
    <row r="53" ht="30" customHeight="1">
      <c r="A53" s="13" t="n">
        <v>52</v>
      </c>
      <c r="B53" s="14" t="inlineStr">
        <is>
          <t>6. RAG Assistant (Conversational Q&amp;A)</t>
        </is>
      </c>
      <c r="C53" s="15" t="inlineStr">
        <is>
          <t>Adverse Action notice auto-drafting (policy-grounded)</t>
        </is>
      </c>
      <c r="D53" s="13" t="inlineStr">
        <is>
          <t>Not Started</t>
        </is>
      </c>
      <c r="E53" s="16" t="inlineStr"/>
      <c r="F53" s="17" t="inlineStr">
        <is>
          <t>Recommended add-on from pain-point research — not yet scoped [2026-10-22] A template decline notice (ECOA wording) is shown to borrowers on rejection; a compliant adverse-action notice is tracked in Section 18.</t>
        </is>
      </c>
    </row>
    <row r="54" ht="30" customHeight="1">
      <c r="A54" s="13" t="n">
        <v>53</v>
      </c>
      <c r="B54" s="14" t="inlineStr">
        <is>
          <t>6. RAG Assistant (Conversational Q&amp;A)</t>
        </is>
      </c>
      <c r="C54" s="15" t="inlineStr">
        <is>
          <t>Embeddings + vector search (scale-up path)</t>
        </is>
      </c>
      <c r="D54" s="13" t="inlineStr">
        <is>
          <t>Not Started</t>
        </is>
      </c>
      <c r="E54" s="16" t="inlineStr"/>
      <c r="F54" s="17" t="inlineStr">
        <is>
          <t>Deliberately deferred — full corpus fits in context for the POC (ROADMAP.md)</t>
        </is>
      </c>
    </row>
    <row r="55" ht="30" customHeight="1">
      <c r="A55" s="13" t="n">
        <v>54</v>
      </c>
      <c r="B55" s="14" t="inlineStr">
        <is>
          <t>7. Frontend — Screens &amp; Navigation</t>
        </is>
      </c>
      <c r="C55" s="15" t="inlineStr">
        <is>
          <t>Navigation shell (auth-gated stack navigation)</t>
        </is>
      </c>
      <c r="D55" s="13" t="inlineStr">
        <is>
          <t>Completed</t>
        </is>
      </c>
      <c r="E55" s="16" t="inlineStr"/>
      <c r="F55" s="17" t="inlineStr">
        <is>
          <t>App.js</t>
        </is>
      </c>
    </row>
    <row r="56" ht="30" customHeight="1">
      <c r="A56" s="13" t="n">
        <v>55</v>
      </c>
      <c r="B56" s="14" t="inlineStr">
        <is>
          <t>7. Frontend — Screens &amp; Navigation</t>
        </is>
      </c>
      <c r="C56" s="15" t="inlineStr">
        <is>
          <t>Login screen</t>
        </is>
      </c>
      <c r="D56" s="13" t="inlineStr">
        <is>
          <t>Completed</t>
        </is>
      </c>
      <c r="E56" s="16" t="inlineStr"/>
      <c r="F56" s="17" t="inlineStr"/>
    </row>
    <row r="57" ht="30" customHeight="1">
      <c r="A57" s="13" t="n">
        <v>56</v>
      </c>
      <c r="B57" s="14" t="inlineStr">
        <is>
          <t>7. Frontend — Screens &amp; Navigation</t>
        </is>
      </c>
      <c r="C57" s="15" t="inlineStr">
        <is>
          <t>Applications list screen</t>
        </is>
      </c>
      <c r="D57" s="13" t="inlineStr">
        <is>
          <t>Completed</t>
        </is>
      </c>
      <c r="E57" s="16" t="inlineStr"/>
      <c r="F57" s="17" t="inlineStr">
        <is>
          <t>Officer sees all; borrower sees only their own</t>
        </is>
      </c>
    </row>
    <row r="58" ht="30" customHeight="1">
      <c r="A58" s="13" t="n">
        <v>57</v>
      </c>
      <c r="B58" s="14" t="inlineStr">
        <is>
          <t>7. Frontend — Screens &amp; Navigation</t>
        </is>
      </c>
      <c r="C58" s="15" t="inlineStr">
        <is>
          <t>Application detail screen (header facts + tab bar)</t>
        </is>
      </c>
      <c r="D58" s="13" t="inlineStr">
        <is>
          <t>Completed</t>
        </is>
      </c>
      <c r="E58" s="16" t="inlineStr"/>
      <c r="F58" s="17" t="inlineStr">
        <is>
          <t>Branches fact display by product type</t>
        </is>
      </c>
    </row>
    <row r="59" ht="30" customHeight="1">
      <c r="A59" s="13" t="n">
        <v>58</v>
      </c>
      <c r="B59" s="14" t="inlineStr">
        <is>
          <t>7. Frontend — Screens &amp; Navigation</t>
        </is>
      </c>
      <c r="C59" s="15" t="inlineStr">
        <is>
          <t>Documents tab — upload + extracted fields display</t>
        </is>
      </c>
      <c r="D59" s="13" t="inlineStr">
        <is>
          <t>Completed</t>
        </is>
      </c>
      <c r="E59" s="16" t="inlineStr"/>
      <c r="F59" s="17" t="inlineStr"/>
    </row>
    <row r="60" ht="30" customHeight="1">
      <c r="A60" s="13" t="n">
        <v>59</v>
      </c>
      <c r="B60" s="14" t="inlineStr">
        <is>
          <t>7. Frontend — Screens &amp; Navigation</t>
        </is>
      </c>
      <c r="C60" s="15" t="inlineStr">
        <is>
          <t>Verification tab — checks + missing documents</t>
        </is>
      </c>
      <c r="D60" s="13" t="inlineStr">
        <is>
          <t>Completed</t>
        </is>
      </c>
      <c r="E60" s="16" t="inlineStr"/>
      <c r="F60" s="17" t="inlineStr"/>
    </row>
    <row r="61" ht="30" customHeight="1">
      <c r="A61" s="13" t="n">
        <v>60</v>
      </c>
      <c r="B61" s="14" t="inlineStr">
        <is>
          <t>7. Frontend — Screens &amp; Navigation</t>
        </is>
      </c>
      <c r="C61" s="15" t="inlineStr">
        <is>
          <t>Assistant tab — chat UI with source chips</t>
        </is>
      </c>
      <c r="D61" s="13" t="inlineStr">
        <is>
          <t>Completed</t>
        </is>
      </c>
      <c r="E61" s="16" t="inlineStr"/>
      <c r="F61" s="17" t="inlineStr"/>
    </row>
    <row r="62" ht="30" customHeight="1">
      <c r="A62" s="13" t="n">
        <v>61</v>
      </c>
      <c r="B62" s="14" t="inlineStr">
        <is>
          <t>7. Frontend — Screens &amp; Navigation</t>
        </is>
      </c>
      <c r="C62" s="15" t="inlineStr">
        <is>
          <t>Small-business-specific detail view (business name / revenue facts)</t>
        </is>
      </c>
      <c r="D62" s="13" t="inlineStr">
        <is>
          <t>Completed</t>
        </is>
      </c>
      <c r="E62" s="16" t="inlineStr"/>
      <c r="F62" s="17" t="inlineStr"/>
    </row>
    <row r="63" ht="30" customHeight="1">
      <c r="A63" s="13" t="n">
        <v>62</v>
      </c>
      <c r="B63" s="14" t="inlineStr">
        <is>
          <t>7. Frontend — Screens &amp; Navigation</t>
        </is>
      </c>
      <c r="C63" s="15" t="inlineStr">
        <is>
          <t>Fintech-styled visual design pass</t>
        </is>
      </c>
      <c r="D63" s="13" t="inlineStr">
        <is>
          <t>Completed</t>
        </is>
      </c>
      <c r="E63" s="16" t="inlineStr"/>
      <c r="F63" s="17" t="inlineStr">
        <is>
          <t>Per recent commit history</t>
        </is>
      </c>
    </row>
    <row r="64" ht="30" customHeight="1">
      <c r="A64" s="13" t="n">
        <v>63</v>
      </c>
      <c r="B64" s="14" t="inlineStr">
        <is>
          <t>7. Frontend — Screens &amp; Navigation</t>
        </is>
      </c>
      <c r="C64" s="15" t="inlineStr">
        <is>
          <t>Sign-up screen (self-registration, role picker)</t>
        </is>
      </c>
      <c r="D64" s="13" t="inlineStr">
        <is>
          <t>Completed</t>
        </is>
      </c>
      <c r="E64" s="16" t="inlineStr"/>
      <c r="F64" s="17" t="inlineStr">
        <is>
          <t>SignUpScreen.js</t>
        </is>
      </c>
    </row>
    <row r="65" ht="30" customHeight="1">
      <c r="A65" s="13" t="n">
        <v>64</v>
      </c>
      <c r="B65" s="14" t="inlineStr">
        <is>
          <t>7. Frontend — Screens &amp; Navigation</t>
        </is>
      </c>
      <c r="C65" s="15" t="inlineStr">
        <is>
          <t>New Application screen ('Apply for a Loan')</t>
        </is>
      </c>
      <c r="D65" s="13" t="inlineStr">
        <is>
          <t>Completed</t>
        </is>
      </c>
      <c r="E65" s="16" t="inlineStr"/>
      <c r="F65" s="17" t="inlineStr">
        <is>
          <t>NewApplicationScreen.js — product-type picker with conditional fields (consumer income/employer vs. business name/revenue), submits to POST /applications then lands on that application's Documents tab</t>
        </is>
      </c>
    </row>
    <row r="66" ht="30" customHeight="1">
      <c r="A66" s="13" t="n">
        <v>65</v>
      </c>
      <c r="B66" s="14" t="inlineStr">
        <is>
          <t>7. Frontend — Screens &amp; Navigation</t>
        </is>
      </c>
      <c r="C66" s="15" t="inlineStr">
        <is>
          <t>'New application' entry point on the borrower's Applications list</t>
        </is>
      </c>
      <c r="D66" s="13" t="inlineStr">
        <is>
          <t>Completed</t>
        </is>
      </c>
      <c r="E66" s="16" t="inlineStr"/>
      <c r="F66" s="17" t="inlineStr">
        <is>
          <t>Officer role doesn't see this button — they don't file applications for themselves</t>
        </is>
      </c>
    </row>
    <row r="67" ht="30" customHeight="1">
      <c r="A67" s="13" t="n">
        <v>66</v>
      </c>
      <c r="B67" s="14" t="inlineStr">
        <is>
          <t>7. Frontend — Screens &amp; Navigation</t>
        </is>
      </c>
      <c r="C67" s="15" t="inlineStr">
        <is>
          <t>Multi-step wizard for the Apply form (Select Product -&gt; Tell Us About Yourself -&gt; Tell Us More About Yourself -&gt; Disclosures &amp; Submit)</t>
        </is>
      </c>
      <c r="D67" s="13" t="inlineStr">
        <is>
          <t>Completed</t>
        </is>
      </c>
      <c r="E67" s="16" t="inlineStr"/>
      <c r="F67" s="17" t="inlineStr">
        <is>
          <t>Matches the real DAO intake step boundaries from Rovo research; per-step validation blocks advancing with missing required fields, progress dots show position</t>
        </is>
      </c>
    </row>
    <row r="68" ht="30" customHeight="1">
      <c r="A68" s="13" t="n">
        <v>67</v>
      </c>
      <c r="B68" s="14" t="inlineStr">
        <is>
          <t>7. Frontend — Screens &amp; Navigation</t>
        </is>
      </c>
      <c r="C68" s="15" t="inlineStr">
        <is>
          <t>Persistent branded header on every authenticated screen (logo, page title, profile menu)</t>
        </is>
      </c>
      <c r="D68" s="13" t="inlineStr">
        <is>
          <t>Completed</t>
        </is>
      </c>
      <c r="E68" s="16" t="inlineStr"/>
      <c r="F68" s="17" t="inlineStr">
        <is>
          <t>components/BrandHeader.js, wired globally via Stack.Navigator screenOptions.header — previously each screen had its own inconsistent title ('Application', 'Apply for a Loan') with no logo/branding and no way to sign out except from the Applications list</t>
        </is>
      </c>
    </row>
    <row r="69" ht="30" customHeight="1">
      <c r="A69" s="13" t="n">
        <v>68</v>
      </c>
      <c r="B69" s="14" t="inlineStr">
        <is>
          <t>7. Frontend — Screens &amp; Navigation</t>
        </is>
      </c>
      <c r="C69" s="15" t="inlineStr">
        <is>
          <t>Responsive left sidebar navigation (desktop-width viewports)</t>
        </is>
      </c>
      <c r="D69" s="13" t="inlineStr">
        <is>
          <t>Completed</t>
        </is>
      </c>
      <c r="E69" s="16" t="inlineStr"/>
      <c r="F69" s="17" t="inlineStr">
        <is>
          <t>components/Sidebar.js — Applications / Apply for a Loan links, role-aware. Rendered outside the Stack.Navigator's own subtree so it persists across screen changes; navigates via a navigationRef (React Navigation's documented pattern for navigating from outside the navigator tree, since useNavigation() isn't available there). Hidden below 900px width — mobile/narrow-browser experience unchanged</t>
        </is>
      </c>
    </row>
    <row r="70" ht="30" customHeight="1">
      <c r="A70" s="13" t="n">
        <v>69</v>
      </c>
      <c r="B70" s="14" t="inlineStr">
        <is>
          <t>7. Frontend — Screens &amp; Navigation</t>
        </is>
      </c>
      <c r="C70" s="15" t="inlineStr">
        <is>
          <t>Floating Assistant button on the application detail screen</t>
        </is>
      </c>
      <c r="D70" s="13" t="inlineStr">
        <is>
          <t>Completed</t>
        </is>
      </c>
      <c r="E70" s="16" t="inlineStr"/>
      <c r="F70" s="17" t="inlineStr">
        <is>
          <t>Bottom-right chat-bubble FAB jumps straight to the Assistant tab; hidden while already on that tab</t>
        </is>
      </c>
    </row>
    <row r="71" ht="30" customHeight="1">
      <c r="A71" s="13" t="n">
        <v>70</v>
      </c>
      <c r="B71" s="14" t="inlineStr">
        <is>
          <t>7. Frontend — Screens &amp; Navigation</t>
        </is>
      </c>
      <c r="C71" s="15" t="inlineStr">
        <is>
          <t>Issue-list rendering split into individual rows (not one run-on paragraph)</t>
        </is>
      </c>
      <c r="D71" s="13" t="inlineStr">
        <is>
          <t>Completed</t>
        </is>
      </c>
      <c r="E71" s="16" t="inlineStr"/>
      <c r="F71" s="17" t="inlineStr">
        <is>
          <t>See prior commit — DocumentsTab now renders each flagged check on a document as its own row</t>
        </is>
      </c>
    </row>
    <row r="72" ht="30" customHeight="1">
      <c r="A72" s="13" t="n">
        <v>71</v>
      </c>
      <c r="B72" s="14" t="inlineStr">
        <is>
          <t>8. Synthetic Demo Data</t>
        </is>
      </c>
      <c r="C72" s="15" t="inlineStr">
        <is>
          <t>Policy corpus — 6 markdown policies</t>
        </is>
      </c>
      <c r="D72" s="13" t="inlineStr">
        <is>
          <t>Completed</t>
        </is>
      </c>
      <c r="E72" s="16" t="inlineStr"/>
      <c r="F72" s="17" t="inlineStr">
        <is>
          <t>Application process, document checklist, income verification, auto-loan, personal-loan, FAQ</t>
        </is>
      </c>
    </row>
    <row r="73" ht="30" customHeight="1">
      <c r="A73" s="13" t="n">
        <v>72</v>
      </c>
      <c r="B73" s="14" t="inlineStr">
        <is>
          <t>8. Synthetic Demo Data</t>
        </is>
      </c>
      <c r="C73" s="15" t="inlineStr">
        <is>
          <t>Small Business Loan Requirements policy</t>
        </is>
      </c>
      <c r="D73" s="13" t="inlineStr">
        <is>
          <t>Completed</t>
        </is>
      </c>
      <c r="E73" s="16" t="inlineStr"/>
      <c r="F73" s="17" t="inlineStr">
        <is>
          <t>data/policies/small-business-loan-requirements.md</t>
        </is>
      </c>
    </row>
    <row r="74" ht="30" customHeight="1">
      <c r="A74" s="13" t="n">
        <v>73</v>
      </c>
      <c r="B74" s="14" t="inlineStr">
        <is>
          <t>8. Synthetic Demo Data</t>
        </is>
      </c>
      <c r="C74" s="15" t="inlineStr">
        <is>
          <t>Consumer demo documents — Jordan Rivera (pay stub, license, bank statement)</t>
        </is>
      </c>
      <c r="D74" s="13" t="inlineStr">
        <is>
          <t>Completed</t>
        </is>
      </c>
      <c r="E74" s="16" t="inlineStr"/>
      <c r="F74" s="17" t="inlineStr">
        <is>
          <t>Planted income mismatch: $4,200 vs. $5,000 stated</t>
        </is>
      </c>
    </row>
    <row r="75" ht="30" customHeight="1">
      <c r="A75" s="13" t="n">
        <v>74</v>
      </c>
      <c r="B75" s="14" t="inlineStr">
        <is>
          <t>8. Synthetic Demo Data</t>
        </is>
      </c>
      <c r="C75" s="15" t="inlineStr">
        <is>
          <t>Breadth/QA demo documents — Priya Nair (clean/happy-path) and Arjun Mehta (employer-mismatch warning)</t>
        </is>
      </c>
      <c r="D75" s="13" t="inlineStr">
        <is>
          <t>Completed</t>
        </is>
      </c>
      <c r="E75" s="16" t="inlineStr"/>
      <c r="F75" s="17" t="inlineStr">
        <is>
          <t>Priya Nair and Arjun Mehta previously had zero document images despite being seeded applicants. Arjun's set is the only scenario exercising the softer 'warning' tier (employer differs) rather than a hard 'mismatch' — verified both against verification.js directly (Priya: overall 'pass'; Arjun: only the Employer check fires, overall 'needs-review')</t>
        </is>
      </c>
    </row>
    <row r="76" ht="30" customHeight="1">
      <c r="A76" s="13" t="n">
        <v>75</v>
      </c>
      <c r="B76" s="14" t="inlineStr">
        <is>
          <t>8. Synthetic Demo Data</t>
        </is>
      </c>
      <c r="C76" s="15" t="inlineStr">
        <is>
          <t>'Perfect application' pre-seeded (Priya Nair, all 3 docs uploaded + verified clean)</t>
        </is>
      </c>
      <c r="D76" s="13" t="inlineStr">
        <is>
          <t>Completed</t>
        </is>
      </c>
      <c r="E76" s="16" t="inlineStr"/>
      <c r="F76" s="17" t="inlineStr">
        <is>
          <t>Reuses the MOCK_AI fixture data + real verifyDocument() so it's guaranteed consistent with a live upload of the same files; includes the actual file bytes so Preview works immediately, not just an empty verification result</t>
        </is>
      </c>
    </row>
    <row r="77" ht="30" customHeight="1">
      <c r="A77" s="13" t="n">
        <v>76</v>
      </c>
      <c r="B77" s="14" t="inlineStr">
        <is>
          <t>8. Synthetic Demo Data</t>
        </is>
      </c>
      <c r="C77" s="15" t="inlineStr">
        <is>
          <t>Document preview/download (opens the actual uploaded file, big view, in a new tab)</t>
        </is>
      </c>
      <c r="D77" s="13" t="inlineStr">
        <is>
          <t>Completed</t>
        </is>
      </c>
      <c r="E77" s="16" t="inlineStr"/>
      <c r="F77" s="17" t="inlineStr">
        <is>
          <t>Authenticated blob fetch + object URL, not a plain link — the file route needs a Bearer token a plain &lt;a href&gt; can't attach. Tab opened synchronously on tap so the async fetch doesn't get popup-blocked</t>
        </is>
      </c>
    </row>
    <row r="78" ht="30" customHeight="1">
      <c r="A78" s="13" t="n">
        <v>77</v>
      </c>
      <c r="B78" s="14" t="inlineStr">
        <is>
          <t>8. Synthetic Demo Data</t>
        </is>
      </c>
      <c r="C78" s="15" t="inlineStr">
        <is>
          <t>Document delete (with a working confirmation dialog)</t>
        </is>
      </c>
      <c r="D78" s="13" t="inlineStr">
        <is>
          <t>Completed</t>
        </is>
      </c>
      <c r="E78" s="16" t="inlineStr"/>
      <c r="F78" s="17" t="inlineStr">
        <is>
          <t>Checked react-native-web's actual Alert.alert source before using it — it's a documented no-op on web, would have made Delete silently do nothing when clicked in a browser. Uses window.confirm on web, Alert.alert on native</t>
        </is>
      </c>
    </row>
    <row r="79" ht="30" customHeight="1">
      <c r="A79" s="13" t="n">
        <v>78</v>
      </c>
      <c r="B79" s="14" t="inlineStr">
        <is>
          <t>8. Synthetic Demo Data</t>
        </is>
      </c>
      <c r="C79" s="15" t="inlineStr">
        <is>
          <t>'Uploaded Documents' section heading + filename shown on each document card</t>
        </is>
      </c>
      <c r="D79" s="13" t="inlineStr">
        <is>
          <t>Completed</t>
        </is>
      </c>
      <c r="E79" s="16" t="inlineStr"/>
      <c r="F79" s="17" t="inlineStr">
        <is>
          <t>Previously a first-time viewer had no heading distinguishing the uploaded-document cards from anything else, and no way to tell which file was actually behind a given card</t>
        </is>
      </c>
    </row>
    <row r="80" ht="30" customHeight="1">
      <c r="A80" s="13" t="n">
        <v>79</v>
      </c>
      <c r="B80" s="14" t="inlineStr">
        <is>
          <t>8. Synthetic Demo Data</t>
        </is>
      </c>
      <c r="C80" s="15" t="inlineStr">
        <is>
          <t>Small-business demo documents — Whitfield &amp; Co. Bakery LLC</t>
        </is>
      </c>
      <c r="D80" s="13" t="inlineStr">
        <is>
          <t>Completed</t>
        </is>
      </c>
      <c r="E80" s="16" t="inlineStr"/>
      <c r="F80" s="17" t="inlineStr">
        <is>
          <t>Tax return, personal financial statement, business license, ownership disclosure; planted revenue mismatch ($275,400 vs. $340,000) and entity-name mismatch</t>
        </is>
      </c>
    </row>
    <row r="81" ht="30" customHeight="1">
      <c r="A81" s="13" t="n">
        <v>80</v>
      </c>
      <c r="B81" s="14" t="inlineStr">
        <is>
          <t>8. Synthetic Demo Data</t>
        </is>
      </c>
      <c r="C81" s="15" t="inlineStr">
        <is>
          <t>Test question bank (acceptance checklist)</t>
        </is>
      </c>
      <c r="D81" s="13" t="inlineStr">
        <is>
          <t>Completed</t>
        </is>
      </c>
      <c r="E81" s="16" t="inlineStr"/>
      <c r="F81" s="17" t="inlineStr">
        <is>
          <t>data/seed/test-questions.md — 23 questions across both scenarios</t>
        </is>
      </c>
    </row>
    <row r="82" ht="30" customHeight="1">
      <c r="A82" s="13" t="n">
        <v>81</v>
      </c>
      <c r="B82" s="14" t="inlineStr">
        <is>
          <t>8. Synthetic Demo Data</t>
        </is>
      </c>
      <c r="C82" s="15" t="inlineStr">
        <is>
          <t>Demo script</t>
        </is>
      </c>
      <c r="D82" s="13" t="inlineStr">
        <is>
          <t>Completed</t>
        </is>
      </c>
      <c r="E82" s="16" t="inlineStr"/>
      <c r="F82" s="17" t="inlineStr">
        <is>
          <t>docs/DEMO_SCRIPT.md — leads with the small-business scenario</t>
        </is>
      </c>
    </row>
    <row r="83" ht="30" customHeight="1">
      <c r="A83" s="13" t="n">
        <v>82</v>
      </c>
      <c r="B83" s="14" t="inlineStr">
        <is>
          <t>8. Synthetic Demo Data</t>
        </is>
      </c>
      <c r="C83" s="15" t="inlineStr">
        <is>
          <t>Indian-named seed borrowers with real logins (Priya Nair, Arjun Mehta)</t>
        </is>
      </c>
      <c r="D83" s="13" t="inlineStr">
        <is>
          <t>Completed</t>
        </is>
      </c>
      <c r="E83" s="16" t="inlineStr"/>
      <c r="F83" s="17" t="inlineStr">
        <is>
          <t>Priya Nair already existed as an application-only record (no login); Arjun Mehta replaces the former 'Marcus Webb' auto-loan record (safe — that name wasn't referenced in DEMO_SCRIPT.md or test-questions.md). Standing preference going forward: use Indian names for any new seed/test data added</t>
        </is>
      </c>
    </row>
    <row r="84" ht="30" customHeight="1">
      <c r="A84" s="13" t="n">
        <v>83</v>
      </c>
      <c r="B84" s="14" t="inlineStr">
        <is>
          <t>9. WhatsApp Integration</t>
        </is>
      </c>
      <c r="C84" s="15" t="inlineStr">
        <is>
          <t>Meta developer app + free sandbox test number</t>
        </is>
      </c>
      <c r="D84" s="13" t="inlineStr">
        <is>
          <t>Not Started</t>
        </is>
      </c>
      <c r="E84" s="16" t="inlineStr"/>
      <c r="F84" s="17" t="inlineStr">
        <is>
          <t>Self-serve, free, no leadership approval needed for the demo</t>
        </is>
      </c>
    </row>
    <row r="85" ht="30" customHeight="1">
      <c r="A85" s="13" t="n">
        <v>84</v>
      </c>
      <c r="B85" s="14" t="inlineStr">
        <is>
          <t>9. WhatsApp Integration</t>
        </is>
      </c>
      <c r="C85" s="15" t="inlineStr">
        <is>
          <t>Webhook endpoint to receive inbound WhatsApp messages</t>
        </is>
      </c>
      <c r="D85" s="13" t="inlineStr">
        <is>
          <t>Not Started</t>
        </is>
      </c>
      <c r="E85" s="16" t="inlineStr"/>
      <c r="F85" s="17" t="inlineStr"/>
    </row>
    <row r="86" ht="30" customHeight="1">
      <c r="A86" s="13" t="n">
        <v>85</v>
      </c>
      <c r="B86" s="14" t="inlineStr">
        <is>
          <t>9. WhatsApp Integration</t>
        </is>
      </c>
      <c r="C86" s="15" t="inlineStr">
        <is>
          <t>Route inbound messages into the existing RAG assistant</t>
        </is>
      </c>
      <c r="D86" s="13" t="inlineStr">
        <is>
          <t>Not Started</t>
        </is>
      </c>
      <c r="E86" s="16" t="inlineStr"/>
      <c r="F86" s="17" t="inlineStr">
        <is>
          <t>Can reuse services/rag.js — answerQuestion()</t>
        </is>
      </c>
    </row>
    <row r="87" ht="30" customHeight="1">
      <c r="A87" s="13" t="n">
        <v>86</v>
      </c>
      <c r="B87" s="14" t="inlineStr">
        <is>
          <t>9. WhatsApp Integration</t>
        </is>
      </c>
      <c r="C87" s="15" t="inlineStr">
        <is>
          <t>Outbound reply via WhatsApp Cloud API</t>
        </is>
      </c>
      <c r="D87" s="13" t="inlineStr">
        <is>
          <t>Not Started</t>
        </is>
      </c>
      <c r="E87" s="16" t="inlineStr"/>
      <c r="F87" s="17" t="inlineStr"/>
    </row>
    <row r="88" ht="30" customHeight="1">
      <c r="A88" s="13" t="n">
        <v>87</v>
      </c>
      <c r="B88" s="14" t="inlineStr">
        <is>
          <t>9. WhatsApp Integration</t>
        </is>
      </c>
      <c r="C88" s="15" t="inlineStr">
        <is>
          <t>Production Meta Business verification</t>
        </is>
      </c>
      <c r="D88" s="13" t="inlineStr">
        <is>
          <t>Not Started</t>
        </is>
      </c>
      <c r="E88" s="16" t="inlineStr"/>
      <c r="F88" s="17" t="inlineStr">
        <is>
          <t>Only needed post-demo, for a real bank pilot — not for the MVP</t>
        </is>
      </c>
    </row>
    <row r="89" ht="30" customHeight="1">
      <c r="A89" s="13" t="n">
        <v>88</v>
      </c>
      <c r="B89" s="14" t="inlineStr">
        <is>
          <t>10. Hosting &amp; Deployment</t>
        </is>
      </c>
      <c r="C89" s="15" t="inlineStr">
        <is>
          <t>Render Blueprint configuration</t>
        </is>
      </c>
      <c r="D89" s="13" t="inlineStr">
        <is>
          <t>Completed</t>
        </is>
      </c>
      <c r="E89" s="16" t="inlineStr"/>
      <c r="F89" s="17" t="inlineStr">
        <is>
          <t>render.yaml — backend web service + frontend static site</t>
        </is>
      </c>
    </row>
    <row r="90" ht="30" customHeight="1">
      <c r="A90" s="13" t="n">
        <v>89</v>
      </c>
      <c r="B90" s="14" t="inlineStr">
        <is>
          <t>10. Hosting &amp; Deployment</t>
        </is>
      </c>
      <c r="C90" s="15" t="inlineStr">
        <is>
          <t>Backend deployed &amp; health-checked on Render</t>
        </is>
      </c>
      <c r="D90" s="13" t="inlineStr">
        <is>
          <t>In Progress</t>
        </is>
      </c>
      <c r="E90" s="16" t="inlineStr"/>
      <c r="F90" s="17" t="inlineStr">
        <is>
          <t>Confirm live and reachable before demo day (/health)</t>
        </is>
      </c>
    </row>
    <row r="91" ht="30" customHeight="1">
      <c r="A91" s="13" t="n">
        <v>90</v>
      </c>
      <c r="B91" s="14" t="inlineStr">
        <is>
          <t>10. Hosting &amp; Deployment</t>
        </is>
      </c>
      <c r="C91" s="15" t="inlineStr">
        <is>
          <t>Frontend deployed as Render static site</t>
        </is>
      </c>
      <c r="D91" s="13" t="inlineStr">
        <is>
          <t>In Progress</t>
        </is>
      </c>
      <c r="E91" s="16" t="inlineStr"/>
      <c r="F91" s="17" t="inlineStr">
        <is>
          <t>Confirm Expo web export + rewrite rule are working</t>
        </is>
      </c>
    </row>
    <row r="92" ht="30" customHeight="1">
      <c r="A92" s="13" t="n">
        <v>91</v>
      </c>
      <c r="B92" s="14" t="inlineStr">
        <is>
          <t>10. Hosting &amp; Deployment</t>
        </is>
      </c>
      <c r="C92" s="15" t="inlineStr">
        <is>
          <t>MongoDB Atlas cluster provisioned (M0 free tier)</t>
        </is>
      </c>
      <c r="D92" s="13" t="inlineStr">
        <is>
          <t>In Progress</t>
        </is>
      </c>
      <c r="E92" s="16" t="inlineStr"/>
      <c r="F92" s="17" t="inlineStr">
        <is>
          <t>Confirm connection string + Network Access 0.0.0.0/0 are set</t>
        </is>
      </c>
    </row>
    <row r="93" ht="30" customHeight="1">
      <c r="A93" s="13" t="n">
        <v>92</v>
      </c>
      <c r="B93" s="14" t="inlineStr">
        <is>
          <t>10. Hosting &amp; Deployment</t>
        </is>
      </c>
      <c r="C93" s="15" t="inlineStr">
        <is>
          <t>One-shot /admin/reset endpoint for pre-demo data reset</t>
        </is>
      </c>
      <c r="D93" s="13" t="inlineStr">
        <is>
          <t>Completed</t>
        </is>
      </c>
      <c r="E93" s="16" t="inlineStr"/>
      <c r="F93" s="17" t="inlineStr">
        <is>
          <t>routes/admin.js — seeds + re-indexes policies in one call</t>
        </is>
      </c>
    </row>
    <row r="94" ht="30" customHeight="1">
      <c r="A94" s="13" t="n">
        <v>93</v>
      </c>
      <c r="B94" s="14" t="inlineStr">
        <is>
          <t>11. Testing &amp; QA</t>
        </is>
      </c>
      <c r="C94" s="15" t="inlineStr">
        <is>
          <t>Manual acceptance test question bank</t>
        </is>
      </c>
      <c r="D94" s="13" t="inlineStr">
        <is>
          <t>Completed</t>
        </is>
      </c>
      <c r="E94" s="16" t="inlineStr"/>
      <c r="F94" s="17" t="inlineStr">
        <is>
          <t>23 questions across consumer + small-business scenarios</t>
        </is>
      </c>
    </row>
    <row r="95" ht="30" customHeight="1">
      <c r="A95" s="13" t="n">
        <v>94</v>
      </c>
      <c r="B95" s="14" t="inlineStr">
        <is>
          <t>11. Testing &amp; QA</t>
        </is>
      </c>
      <c r="C95" s="15" t="inlineStr">
        <is>
          <t>Automated unit/integration tests</t>
        </is>
      </c>
      <c r="D95" s="13" t="inlineStr">
        <is>
          <t>In Progress</t>
        </is>
      </c>
      <c r="E95" s="16" t="inlineStr"/>
      <c r="F95" s="17" t="inlineStr">
        <is>
          <t>Backend suite: 61 tests (verification, statement analysis, RAG grounding, decision rules, borrower-view privacy); 60 pass, 1 pre-existing failure (test/rag/serviceClients.test.js imports a missing export). No frontend or route-level tests yet.</t>
        </is>
      </c>
    </row>
    <row r="96" ht="30" customHeight="1">
      <c r="A96" s="13" t="n">
        <v>95</v>
      </c>
      <c r="B96" s="14" t="inlineStr">
        <is>
          <t>11. Testing &amp; QA</t>
        </is>
      </c>
      <c r="C96" s="15" t="inlineStr">
        <is>
          <t>End-to-end demo rehearsal (full run-through, timed)</t>
        </is>
      </c>
      <c r="D96" s="13" t="inlineStr">
        <is>
          <t>Not Started</t>
        </is>
      </c>
      <c r="E96" s="16" t="inlineStr"/>
      <c r="F96" s="17" t="inlineStr">
        <is>
          <t>Schedule before presentation day</t>
        </is>
      </c>
    </row>
    <row r="97" ht="30" customHeight="1">
      <c r="A97" s="13" t="n">
        <v>96</v>
      </c>
      <c r="B97" s="14" t="inlineStr">
        <is>
          <t>11. Testing &amp; QA</t>
        </is>
      </c>
      <c r="C97" s="15" t="inlineStr">
        <is>
          <t>Cross-browser / device check (Expo web export)</t>
        </is>
      </c>
      <c r="D97" s="13" t="inlineStr">
        <is>
          <t>Not Started</t>
        </is>
      </c>
      <c r="E97" s="16" t="inlineStr"/>
      <c r="F97" s="17" t="inlineStr"/>
    </row>
    <row r="98" ht="30" customHeight="1">
      <c r="A98" s="13" t="n">
        <v>97</v>
      </c>
      <c r="B98" s="14" t="inlineStr">
        <is>
          <t>12. Documentation</t>
        </is>
      </c>
      <c r="C98" s="15" t="inlineStr">
        <is>
          <t>README (quick start, architecture, deploy steps)</t>
        </is>
      </c>
      <c r="D98" s="13" t="inlineStr">
        <is>
          <t>Completed</t>
        </is>
      </c>
      <c r="E98" s="16" t="inlineStr"/>
      <c r="F98" s="17" t="inlineStr"/>
    </row>
    <row r="99" ht="30" customHeight="1">
      <c r="A99" s="13" t="n">
        <v>98</v>
      </c>
      <c r="B99" s="14" t="inlineStr">
        <is>
          <t>12. Documentation</t>
        </is>
      </c>
      <c r="C99" s="15" t="inlineStr">
        <is>
          <t>ROADMAP.md (phased build plan)</t>
        </is>
      </c>
      <c r="D99" s="13" t="inlineStr">
        <is>
          <t>Completed</t>
        </is>
      </c>
      <c r="E99" s="16" t="inlineStr"/>
      <c r="F99" s="17" t="inlineStr"/>
    </row>
    <row r="100" ht="30" customHeight="1">
      <c r="A100" s="13" t="n">
        <v>99</v>
      </c>
      <c r="B100" s="14" t="inlineStr">
        <is>
          <t>12. Documentation</t>
        </is>
      </c>
      <c r="C100" s="15" t="inlineStr">
        <is>
          <t>DEMO_SCRIPT.md (3-minute walkthrough)</t>
        </is>
      </c>
      <c r="D100" s="13" t="inlineStr">
        <is>
          <t>Completed</t>
        </is>
      </c>
      <c r="E100" s="16" t="inlineStr"/>
      <c r="F100" s="17" t="inlineStr"/>
    </row>
    <row r="101" ht="30" customHeight="1">
      <c r="A101" s="13" t="n">
        <v>100</v>
      </c>
      <c r="B101" s="14" t="inlineStr">
        <is>
          <t>12. Documentation</t>
        </is>
      </c>
      <c r="C101" s="15" t="inlineStr">
        <is>
          <t>Development task tracker (this file)</t>
        </is>
      </c>
      <c r="D101" s="13" t="inlineStr">
        <is>
          <t>Completed</t>
        </is>
      </c>
      <c r="E101" s="16" t="inlineStr"/>
      <c r="F101" s="17" t="inlineStr">
        <is>
          <t>Prepared 2026-09-11, moved to Excel — update statuses as work progresses</t>
        </is>
      </c>
    </row>
    <row r="102" ht="30" customHeight="1">
      <c r="A102" s="13" t="n">
        <v>101</v>
      </c>
      <c r="B102" s="14" t="inlineStr">
        <is>
          <t>13. Real-Time Document Validation &amp; Self-Service Re-Request (DocuSense)</t>
        </is>
      </c>
      <c r="C102" s="15" t="inlineStr">
        <is>
          <t>Unified 'Action needed' list — every open issue (missing or flagged) in one place</t>
        </is>
      </c>
      <c r="D102" s="13" t="inlineStr">
        <is>
          <t>Completed</t>
        </is>
      </c>
      <c r="E102" s="16" t="inlineStr"/>
      <c r="F102" s="17" t="inlineStr">
        <is>
          <t>New openExceptions() in verification.js; returned by GET /applications/:id; rendered as a card at the top of the Documents tab</t>
        </is>
      </c>
    </row>
    <row r="103" ht="30" customHeight="1">
      <c r="A103" s="13" t="n">
        <v>102</v>
      </c>
      <c r="B103" s="14" t="inlineStr">
        <is>
          <t>13. Real-Time Document Validation &amp; Self-Service Re-Request (DocuSense)</t>
        </is>
      </c>
      <c r="C103" s="15" t="inlineStr">
        <is>
          <t>Targeted self-service re-upload — fix exactly one flagged/missing item, no restart</t>
        </is>
      </c>
      <c r="D103" s="13" t="inlineStr">
        <is>
          <t>Completed</t>
        </is>
      </c>
      <c r="E103" s="16" t="inlineStr"/>
      <c r="F103" s="17" t="inlineStr">
        <is>
          <t>expectedDocType passed on upload; this is the in-app equivalent of the 'SMS/magic-link' concept — same outcome, no external channel needed since it's already inside the app</t>
        </is>
      </c>
    </row>
    <row r="104" ht="30" customHeight="1">
      <c r="A104" s="13" t="n">
        <v>103</v>
      </c>
      <c r="B104" s="14" t="inlineStr">
        <is>
          <t>13. Real-Time Document Validation &amp; Self-Service Re-Request (DocuSense)</t>
        </is>
      </c>
      <c r="C104" s="15" t="inlineStr">
        <is>
          <t>Wrong-file-type caught immediately during a targeted re-upload</t>
        </is>
      </c>
      <c r="D104" s="13" t="inlineStr">
        <is>
          <t>Completed</t>
        </is>
      </c>
      <c r="E104" s="16" t="inlineStr"/>
      <c r="F104" s="17" t="inlineStr">
        <is>
          <t>New 'Document type' check in verifyDocument() when expectedDocType doesn't match the classified docType</t>
        </is>
      </c>
    </row>
    <row r="105" ht="30" customHeight="1">
      <c r="A105" s="13" t="n">
        <v>104</v>
      </c>
      <c r="B105" s="14" t="inlineStr">
        <is>
          <t>13. Real-Time Document Validation &amp; Self-Service Re-Request (DocuSense)</t>
        </is>
      </c>
      <c r="C105" s="15" t="inlineStr">
        <is>
          <t>Document supersede/audit-trail model (current vs. superseded)</t>
        </is>
      </c>
      <c r="D105" s="13" t="inlineStr">
        <is>
          <t>Completed</t>
        </is>
      </c>
      <c r="E105" s="16" t="inlineStr"/>
      <c r="F105" s="17" t="inlineStr">
        <is>
          <t>Document.status field; fixing an item replaces it instead of leaving a duplicate; superseded docs kept for audit, hidden by default behind 'Show document history'</t>
        </is>
      </c>
    </row>
    <row r="106" ht="30" customHeight="1">
      <c r="A106" s="13" t="n">
        <v>105</v>
      </c>
      <c r="B106" s="14" t="inlineStr">
        <is>
          <t>13. Real-Time Document Validation &amp; Self-Service Re-Request (DocuSense)</t>
        </is>
      </c>
      <c r="C106" s="15" t="inlineStr">
        <is>
          <t>Application status self-heals (Needs Review -&gt; Submitted) once every exception clears</t>
        </is>
      </c>
      <c r="D106" s="13" t="inlineStr">
        <is>
          <t>Completed</t>
        </is>
      </c>
      <c r="E106" s="16" t="inlineStr"/>
      <c r="F106" s="17" t="inlineStr">
        <is>
          <t>routes/documents.js — no manual officer action required to un-flag a resolved application</t>
        </is>
      </c>
    </row>
    <row r="107" ht="30" customHeight="1">
      <c r="A107" s="13" t="n">
        <v>106</v>
      </c>
      <c r="B107" s="14" t="inlineStr">
        <is>
          <t>13. Real-Time Document Validation &amp; Self-Service Re-Request (DocuSense)</t>
        </is>
      </c>
      <c r="C107" s="15" t="inlineStr">
        <is>
          <t>Borrower upload endpoint scoped to their own application (auth fix)</t>
        </is>
      </c>
      <c r="D107" s="13" t="inlineStr">
        <is>
          <t>Completed</t>
        </is>
      </c>
      <c r="E107" s="16" t="inlineStr"/>
      <c r="F107" s="17" t="inlineStr">
        <is>
          <t>POST /documents/:applicationId had no ownership check before today — any authenticated borrower could upload to any applicationId. Now matches the same check already used on GET /applications/:id</t>
        </is>
      </c>
    </row>
    <row r="108" ht="30" customHeight="1">
      <c r="A108" s="13" t="n">
        <v>107</v>
      </c>
      <c r="B108" s="14" t="inlineStr">
        <is>
          <t>13. Real-Time Document Validation &amp; Self-Service Re-Request (DocuSense)</t>
        </is>
      </c>
      <c r="C108" s="15" t="inlineStr">
        <is>
          <t>RAG assistant reflects only current, unresolved exceptions</t>
        </is>
      </c>
      <c r="D108" s="13" t="inlineStr">
        <is>
          <t>Completed</t>
        </is>
      </c>
      <c r="E108" s="16" t="inlineStr"/>
      <c r="F108" s="17" t="inlineStr">
        <is>
          <t>rag.js's applicationStateSummary was reading ALL documents including superseded ones — a resolved issue could be re-surfaced in an answer as if still open. Fixed to use only current documents + the same openExceptions list the UI shows</t>
        </is>
      </c>
    </row>
    <row r="109" ht="30" customHeight="1">
      <c r="A109" s="13" t="n">
        <v>108</v>
      </c>
      <c r="B109" s="14" t="inlineStr">
        <is>
          <t>13. Real-Time Document Validation &amp; Self-Service Re-Request (DocuSense)</t>
        </is>
      </c>
      <c r="C109" s="15" t="inlineStr">
        <is>
          <t>In-browser instant document classification &amp; quality check at upload</t>
        </is>
      </c>
      <c r="D109" s="13" t="inlineStr">
        <is>
          <t>Not Started</t>
        </is>
      </c>
      <c r="E109" s="16" t="inlineStr"/>
      <c r="F109" s="17" t="inlineStr">
        <is>
          <t>Client-side pre-submission check, before the file is even sent — different from the (built) post-upload flagging</t>
        </is>
      </c>
    </row>
    <row r="110" ht="30" customHeight="1">
      <c r="A110" s="13" t="n">
        <v>109</v>
      </c>
      <c r="B110" s="14" t="inlineStr">
        <is>
          <t>13. Real-Time Document Validation &amp; Self-Service Re-Request (DocuSense)</t>
        </is>
      </c>
      <c r="C110" s="15" t="inlineStr">
        <is>
          <t>Pre-submission completeness check (required schedules/pages present)</t>
        </is>
      </c>
      <c r="D110" s="13" t="inlineStr">
        <is>
          <t>Not Started</t>
        </is>
      </c>
      <c r="E110" s="16" t="inlineStr"/>
      <c r="F110" s="17" t="inlineStr">
        <is>
          <t>Per document type</t>
        </is>
      </c>
    </row>
    <row r="111" ht="30" customHeight="1">
      <c r="A111" s="13" t="n">
        <v>110</v>
      </c>
      <c r="B111" s="14" t="inlineStr">
        <is>
          <t>13. Real-Time Document Validation &amp; Self-Service Re-Request (DocuSense)</t>
        </is>
      </c>
      <c r="C111" s="15" t="inlineStr">
        <is>
          <t>Blur / glare / legibility detection before accepting an upload</t>
        </is>
      </c>
      <c r="D111" s="13" t="inlineStr">
        <is>
          <t>Not Started</t>
        </is>
      </c>
      <c r="E111" s="16" t="inlineStr"/>
      <c r="F111" s="17" t="inlineStr">
        <is>
          <t>Complements existing confidence-score routing in verification.js</t>
        </is>
      </c>
    </row>
    <row r="112" ht="30" customHeight="1">
      <c r="A112" s="13" t="n">
        <v>111</v>
      </c>
      <c r="B112" s="14" t="inlineStr">
        <is>
          <t>13. Real-Time Document Validation &amp; Self-Service Re-Request (DocuSense)</t>
        </is>
      </c>
      <c r="C112" s="15" t="inlineStr">
        <is>
          <t>Auto pre-fill of underwriting review fields from extracted data</t>
        </is>
      </c>
      <c r="D112" s="13" t="inlineStr">
        <is>
          <t>Not Started</t>
        </is>
      </c>
      <c r="E112" s="16" t="inlineStr"/>
      <c r="F112" s="17" t="inlineStr">
        <is>
          <t>Extraction already produces the data; pre-filling a review form UI is net-new</t>
        </is>
      </c>
    </row>
    <row r="113" ht="30" customHeight="1">
      <c r="A113" s="13" t="n">
        <v>112</v>
      </c>
      <c r="B113" s="14" t="inlineStr">
        <is>
          <t>14. Multi-Party &amp; Milestone Tracking (Lending Co-Pilot)</t>
        </is>
      </c>
      <c r="C113" s="15" t="inlineStr">
        <is>
          <t>Step-by-step milestone tracker UI (Intake -&gt; Doc Verification -&gt; Underwriting -&gt; Closing -&gt; Disbursement)</t>
        </is>
      </c>
      <c r="D113" s="13" t="inlineStr">
        <is>
          <t>In Progress</t>
        </is>
      </c>
      <c r="E113" s="16" t="inlineStr"/>
      <c r="F113" s="17" t="inlineStr">
        <is>
          <t>New status model, beyond the current submitted/needs-review/approved/rejected enum [2026-10-22] A Progress page now shows a derived 6-step timeline (submitted &gt; documents &gt; verification &gt; issues &gt; officer review &gt; decision) with a "You are here" marker. Still missing: a persisted milestone status model and the closing / disbursement stages.</t>
        </is>
      </c>
    </row>
    <row r="114" ht="30" customHeight="1">
      <c r="A114" s="13" t="n">
        <v>113</v>
      </c>
      <c r="B114" s="14" t="inlineStr">
        <is>
          <t>14. Multi-Party &amp; Milestone Tracking (Lending Co-Pilot)</t>
        </is>
      </c>
      <c r="C114" s="15" t="inlineStr">
        <is>
          <t>Multi-party checklist — per-owner/signer verification status for business loans</t>
        </is>
      </c>
      <c r="D114" s="13" t="inlineStr">
        <is>
          <t>Not Started</t>
        </is>
      </c>
      <c r="E114" s="16" t="inlineStr"/>
      <c r="F114" s="17" t="inlineStr">
        <is>
          <t>Builds on the ownership-disclosure doc type; needs a per-owner sub-record, not just one applicant</t>
        </is>
      </c>
    </row>
    <row r="115" ht="30" customHeight="1">
      <c r="A115" s="13" t="n">
        <v>114</v>
      </c>
      <c r="B115" s="14" t="inlineStr">
        <is>
          <t>14. Multi-Party &amp; Milestone Tracking (Lending Co-Pilot)</t>
        </is>
      </c>
      <c r="C115" s="15" t="inlineStr">
        <is>
          <t>Shared visibility for all parties on one application</t>
        </is>
      </c>
      <c r="D115" s="13" t="inlineStr">
        <is>
          <t>Not Started</t>
        </is>
      </c>
      <c r="E115" s="16" t="inlineStr"/>
      <c r="F115" s="17" t="inlineStr">
        <is>
          <t>Officer and the single applicant now see the exact same live exception list (built in Section 13's live-exception flow) — what's still missing is MULTIPLE distinct people (co-owners/guarantors) on one application; auth model currently ties an application to one applicant email only</t>
        </is>
      </c>
    </row>
    <row r="116" ht="30" customHeight="1">
      <c r="A116" s="13" t="n">
        <v>115</v>
      </c>
      <c r="B116" s="14" t="inlineStr">
        <is>
          <t>14. Multi-Party &amp; Milestone Tracking (Lending Co-Pilot)</t>
        </is>
      </c>
      <c r="C116" s="15" t="inlineStr">
        <is>
          <t>Core-readiness / entity-name pre-validator earlier in the flow</t>
        </is>
      </c>
      <c r="D116" s="13" t="inlineStr">
        <is>
          <t>Not Started</t>
        </is>
      </c>
      <c r="E116" s="16" t="inlineStr"/>
      <c r="F116" s="17" t="inlineStr">
        <is>
          <t>Extends the Section 5 business-name check to run at intake, before final closing</t>
        </is>
      </c>
    </row>
    <row r="117" ht="30" customHeight="1">
      <c r="A117" s="13" t="n">
        <v>116</v>
      </c>
      <c r="B117" s="14" t="inlineStr">
        <is>
          <t>15. Predictive Servicing (EarlyCare) — Post-MVP</t>
        </is>
      </c>
      <c r="C117" s="15" t="inlineStr">
        <is>
          <t>Cash-flow dip / pre-delinquency risk detection from transaction history</t>
        </is>
      </c>
      <c r="D117" s="13" t="inlineStr">
        <is>
          <t>Not Started</t>
        </is>
      </c>
      <c r="E117" s="16" t="inlineStr"/>
      <c r="F117" s="17" t="inlineStr">
        <is>
          <t>Different lifecycle stage (servicing, not origination) — needs a transaction-history data model not in the current schema. Recommend as roadmap/vision talking point, not a 4-week build target</t>
        </is>
      </c>
    </row>
    <row r="118" ht="30" customHeight="1">
      <c r="A118" s="13" t="n">
        <v>117</v>
      </c>
      <c r="B118" s="14" t="inlineStr">
        <is>
          <t>15. Predictive Servicing (EarlyCare) — Post-MVP</t>
        </is>
      </c>
      <c r="C118" s="15" t="inlineStr">
        <is>
          <t>Self-service grace period / split-payment offers</t>
        </is>
      </c>
      <c r="D118" s="13" t="inlineStr">
        <is>
          <t>Not Started</t>
        </is>
      </c>
      <c r="E118" s="16" t="inlineStr"/>
      <c r="F118" s="17" t="inlineStr">
        <is>
          <t>Same caveat as above — deprioritize for the MVP</t>
        </is>
      </c>
    </row>
    <row r="119">
      <c r="A119" t="n">
        <v>118</v>
      </c>
      <c r="B119" t="inlineStr">
        <is>
          <t>5. Cross-Verification Engine</t>
        </is>
      </c>
      <c r="C119" t="inlineStr">
        <is>
          <t>Cross-document check: bank statement deposit vs. pay stub net pay (amount + employer-name match)</t>
        </is>
      </c>
      <c r="D119" t="inlineStr">
        <is>
          <t>Completed</t>
        </is>
      </c>
      <c r="F119" t="inlineStr">
        <is>
          <t>backend/src/services/verification.js — crossDocumentChecks()/withCrossDocumentChecks(); catches an inflated pay stub not backed by a real deposit</t>
        </is>
      </c>
    </row>
    <row r="120">
      <c r="A120" t="n">
        <v>119</v>
      </c>
      <c r="B120" t="inlineStr">
        <is>
          <t>5. Cross-Verification Engine</t>
        </is>
      </c>
      <c r="C120" t="inlineStr">
        <is>
          <t>Statutory payroll-math check: Social Security (6.2%) &amp; Medicare (1.45%) withholding vs. gross pay</t>
        </is>
      </c>
      <c r="D120" t="inlineStr">
        <is>
          <t>Completed</t>
        </is>
      </c>
      <c r="F120" t="inlineStr">
        <is>
          <t>backend/src/services/verification.js; flat federal rates, not income-tax brackets (deliberately not modeled — see Section 16 note)</t>
        </is>
      </c>
    </row>
    <row r="121">
      <c r="A121" t="n">
        <v>120</v>
      </c>
      <c r="B121" t="inlineStr">
        <is>
          <t>5. Cross-Verification Engine</t>
        </is>
      </c>
      <c r="C121" t="inlineStr">
        <is>
          <t>Year-to-date gross consistency check (YTD gross ÷ pay period # vs. current period gross)</t>
        </is>
      </c>
      <c r="D121" t="inlineStr">
        <is>
          <t>Completed</t>
        </is>
      </c>
      <c r="F121" t="inlineStr">
        <is>
          <t>backend/src/services/verification.js; pay stub images regenerated to show YTD gross + period #</t>
        </is>
      </c>
    </row>
    <row r="122">
      <c r="A122" t="n">
        <v>121</v>
      </c>
      <c r="B122" t="inlineStr">
        <is>
          <t>5. Cross-Verification Engine</t>
        </is>
      </c>
      <c r="C122" t="inlineStr">
        <is>
          <t>Ownership percentage sanity bound (0-100%)</t>
        </is>
      </c>
      <c r="D122" t="inlineStr">
        <is>
          <t>Completed</t>
        </is>
      </c>
      <c r="F122" t="inlineStr">
        <is>
          <t>backend/src/services/verification.js; single-doc-per-application model limits this to a bounds check, not a multi-owner sum-to-100% check</t>
        </is>
      </c>
    </row>
    <row r="123">
      <c r="A123" t="n">
        <v>122</v>
      </c>
      <c r="B123" t="inlineStr">
        <is>
          <t>5. Cross-Verification Engine</t>
        </is>
      </c>
      <c r="C123" t="inlineStr">
        <is>
          <t>Personal financial statement vs. bank statement cash-on-hand cross-check</t>
        </is>
      </c>
      <c r="D123" t="inlineStr">
        <is>
          <t>Not Started</t>
        </is>
      </c>
      <c r="F123" t="inlineStr">
        <is>
          <t>Same buildable pattern as the completed pay-stub/bank-statement check above — no vendor needed, just not yet prioritized</t>
        </is>
      </c>
    </row>
    <row r="124">
      <c r="A124" t="n">
        <v>123</v>
      </c>
      <c r="B124" t="inlineStr">
        <is>
          <t>16. Document Authenticity — Digital Forensics &amp; Direct-Source Verification</t>
        </is>
      </c>
      <c r="C124" t="inlineStr">
        <is>
          <t>PDF metadata / edit-history forensics</t>
        </is>
      </c>
      <c r="D124" t="inlineStr">
        <is>
          <t>Not Started</t>
        </is>
      </c>
      <c r="F124" t="inlineStr">
        <is>
          <t>No vendor cost, but our demo docs are images (no metadata to inspect); even on real PDFs this is easily defeated by re-export/screenshot — low reliability even in production</t>
        </is>
      </c>
    </row>
    <row r="125">
      <c r="A125" t="n">
        <v>124</v>
      </c>
      <c r="B125" t="inlineStr">
        <is>
          <t>16. Document Authenticity — Digital Forensics &amp; Direct-Source Verification</t>
        </is>
      </c>
      <c r="C125" t="inlineStr">
        <is>
          <t>Font/glyph and template-mismatch detection</t>
        </is>
      </c>
      <c r="D125" t="inlineStr">
        <is>
          <t>Not Started</t>
        </is>
      </c>
      <c r="F125" t="inlineStr">
        <is>
          <t>Needs a reference library of genuine payroll-provider templates (ADP/Gusto/Paychex) — a real computer-vision project, out of hackathon scope</t>
        </is>
      </c>
    </row>
    <row r="126">
      <c r="A126" t="n">
        <v>125</v>
      </c>
      <c r="B126" t="inlineStr">
        <is>
          <t>16. Document Authenticity — Digital Forensics &amp; Direct-Source Verification</t>
        </is>
      </c>
      <c r="C126" t="inlineStr">
        <is>
          <t>Error Level Analysis (ELA) for spliced/edited images</t>
        </is>
      </c>
      <c r="D126" t="inlineStr">
        <is>
          <t>Not Started</t>
        </is>
      </c>
      <c r="F126" t="inlineStr">
        <is>
          <t>Free to build (no vendor), but only detects JPEG recompression artifacts — has no effect on our PNG uploads; revisit if real photographed/scanned uploads are supported</t>
        </is>
      </c>
    </row>
    <row r="127">
      <c r="A127" t="n">
        <v>126</v>
      </c>
      <c r="B127" t="inlineStr">
        <is>
          <t>16. Document Authenticity — Digital Forensics &amp; Direct-Source Verification</t>
        </is>
      </c>
      <c r="C127" t="inlineStr">
        <is>
          <t>Identity verification (IDV) for driver's license / government ID</t>
        </is>
      </c>
      <c r="D127" t="inlineStr">
        <is>
          <t>In Progress</t>
        </is>
      </c>
      <c r="F127" t="inlineStr">
        <is>
          <t>NEEDS REAL-TIME API KEY + FUNDING — vendor options: Persona, Onfido, Jumio, ID.me (liveness + barcode/MRZ check) [2026-10-24] Document-based part built: the licence is now checked for expiry, date of birth and address against the application (real checks on the upload). The vendor ID / selfie / liveness check is still not built.</t>
        </is>
      </c>
    </row>
    <row r="128">
      <c r="A128" t="n">
        <v>127</v>
      </c>
      <c r="B128" t="inlineStr">
        <is>
          <t>16. Document Authenticity — Digital Forensics &amp; Direct-Source Verification</t>
        </is>
      </c>
      <c r="C128" t="inlineStr">
        <is>
          <t>IRS tax transcript verification (Form 4506-C / IVES) for business tax returns</t>
        </is>
      </c>
      <c r="D128" t="inlineStr">
        <is>
          <t>Not Started</t>
        </is>
      </c>
      <c r="F128" t="inlineStr">
        <is>
          <t>NEEDS FUNDING — requires becoming an approved IVES participant; not obtainable via a simple developer API key sign-up</t>
        </is>
      </c>
    </row>
    <row r="129">
      <c r="A129" t="n">
        <v>128</v>
      </c>
      <c r="B129" t="inlineStr">
        <is>
          <t>16. Document Authenticity — Digital Forensics &amp; Direct-Source Verification</t>
        </is>
      </c>
      <c r="C129" t="inlineStr">
        <is>
          <t>Business registry / EIN verification (Secretary of State lookup)</t>
        </is>
      </c>
      <c r="D129" t="inlineStr">
        <is>
          <t>Not Started</t>
        </is>
      </c>
      <c r="F129" t="inlineStr">
        <is>
          <t>NEEDS REAL-TIME API KEY + FUNDING — vendor option: Middesk (most state registries have no free structured API)</t>
        </is>
      </c>
    </row>
    <row r="130">
      <c r="A130" t="n">
        <v>129</v>
      </c>
      <c r="B130" t="inlineStr">
        <is>
          <t>16. Document Authenticity — Digital Forensics &amp; Direct-Source Verification</t>
        </is>
      </c>
      <c r="C130" t="inlineStr">
        <is>
          <t>Direct-from-source payroll verification (bypass documents entirely)</t>
        </is>
      </c>
      <c r="D130" t="inlineStr">
        <is>
          <t>Not Started</t>
        </is>
      </c>
      <c r="F130" t="inlineStr">
        <is>
          <t>NEEDS REAL-TIME API KEY + FUNDING — vendor options: Argyle, Pinwheel, Plaid Income; this is the actual production-grade fix — uploaded documents become an optional fallback, not the source of truth</t>
        </is>
      </c>
    </row>
    <row r="131">
      <c r="A131" t="n">
        <v>130</v>
      </c>
      <c r="B131" t="inlineStr">
        <is>
          <t>17. Identity, Address &amp; Credit Verification (KYC / Underwriting)</t>
        </is>
      </c>
      <c r="C131" t="inlineStr">
        <is>
          <t>OFAC sanctions / PEP screening for beneficial owners</t>
        </is>
      </c>
      <c r="D131" t="inlineStr">
        <is>
          <t>Not Started</t>
        </is>
      </c>
      <c r="F131" t="inlineStr">
        <is>
          <t>FREE — U.S. Treasury OFAC SDN list is a public, free, downloadable dataset; no paid vendor required to build a basic screen [2026-10-24] A SIMULATED sanctions screen exists (scripted test records); the real OFAC list is not loaded.</t>
        </is>
      </c>
    </row>
    <row r="132">
      <c r="A132" t="n">
        <v>131</v>
      </c>
      <c r="B132" t="inlineStr">
        <is>
          <t>17. Identity, Address &amp; Credit Verification (KYC / Underwriting)</t>
        </is>
      </c>
      <c r="C132" t="inlineStr">
        <is>
          <t>Address verification (standardization + deliverability)</t>
        </is>
      </c>
      <c r="D132" t="inlineStr">
        <is>
          <t>Not Started</t>
        </is>
      </c>
      <c r="F132" t="inlineStr">
        <is>
          <t>FREE TIER AVAILABLE — USPS Web Tools API has a no-cost tier suitable for this use case [2026-10-24] Document-level address check built (licence address vs application). USPS deliverability is still not built.</t>
        </is>
      </c>
    </row>
    <row r="133">
      <c r="A133" t="n">
        <v>132</v>
      </c>
      <c r="B133" t="inlineStr">
        <is>
          <t>17. Identity, Address &amp; Credit Verification (KYC / Underwriting)</t>
        </is>
      </c>
      <c r="C133" t="inlineStr">
        <is>
          <t>Credit bureau pull / existing-loan (trade line) check</t>
        </is>
      </c>
      <c r="D133" t="inlineStr">
        <is>
          <t>Not Started</t>
        </is>
      </c>
      <c r="F133" t="inlineStr">
        <is>
          <t>NEEDS FUNDING — real bureau access (Equifax/Experian/TransUnion) requires a licensed FCRA "permissible purpose" relationship, not just an API key; soft-pull aggregators (Array, Bloom Credit, MeridianLink) are the realistic funded path [2026-10-22] Interim: staff enter the credit score by hand on the Decision page (Section 18). [2026-10-24] A SIMULATED credit pull (scripted test records) is built and feeds the decision workflow. A real bureau still needs a contract, consent flow and FCRA permissible purpose.</t>
        </is>
      </c>
    </row>
    <row r="134">
      <c r="A134" t="n">
        <v>133</v>
      </c>
      <c r="B134" t="inlineStr">
        <is>
          <t>7. Frontend — Screens &amp; Navigation</t>
        </is>
      </c>
      <c r="C134" t="inlineStr">
        <is>
          <t>Verification checklist on the Documents tab — every check (matches and flags) per document, plus an application-wide summary</t>
        </is>
      </c>
      <c r="D134" t="inlineStr">
        <is>
          <t>Completed</t>
        </is>
      </c>
      <c r="F134" t="inlineStr">
        <is>
          <t>components/VerificationSummary.js. Answers the jury question "what parameters are checked": expected value next to value found, cross-document checks tagged.</t>
        </is>
      </c>
    </row>
    <row r="135">
      <c r="A135" t="n">
        <v>134</v>
      </c>
      <c r="B135" t="inlineStr">
        <is>
          <t>7. Frontend — Screens &amp; Navigation</t>
        </is>
      </c>
      <c r="C135" t="inlineStr">
        <is>
          <t>One readable URL per application page: /applications/:id/{progress,documents,verification,action-needed,assistant,decision}</t>
        </is>
      </c>
      <c r="D135" t="inlineStr">
        <is>
          <t>Completed</t>
        </is>
      </c>
      <c r="F135" t="inlineStr">
        <is>
          <t>App.js linking config; browser tab title names the page. AuthContext now waits for the saved session so a reload keeps the deep link.</t>
        </is>
      </c>
    </row>
    <row r="136">
      <c r="A136" t="n">
        <v>135</v>
      </c>
      <c r="B136" t="inlineStr">
        <is>
          <t>7. Frontend — Screens &amp; Navigation</t>
        </is>
      </c>
      <c r="C136" t="inlineStr">
        <is>
          <t>Progress page — % complete, "You are here" timeline, next step</t>
        </is>
      </c>
      <c r="D136" t="inlineStr">
        <is>
          <t>Completed</t>
        </is>
      </c>
      <c r="F136" t="inlineStr">
        <is>
          <t>ProgressTab.js, utils/progress.js. Derived from documents, verification and status; no new backend state.</t>
        </is>
      </c>
    </row>
    <row r="137">
      <c r="A137" t="n">
        <v>136</v>
      </c>
      <c r="B137" t="inlineStr">
        <is>
          <t>7. Frontend — Screens &amp; Navigation</t>
        </is>
      </c>
      <c r="C137" t="inlineStr">
        <is>
          <t>Action Needed page — open items with one-tap upload / re-upload</t>
        </is>
      </c>
      <c r="D137" t="inlineStr">
        <is>
          <t>Completed</t>
        </is>
      </c>
      <c r="F137" t="inlineStr">
        <is>
          <t>ActionNeededTab.js; tab shows the open count. Upload logic extracted to utils/uploadDocument.js.</t>
        </is>
      </c>
    </row>
    <row r="138">
      <c r="A138" t="n">
        <v>137</v>
      </c>
      <c r="B138" t="inlineStr">
        <is>
          <t>7. Frontend — Screens &amp; Navigation</t>
        </is>
      </c>
      <c r="C138" t="inlineStr">
        <is>
          <t>Assistant as a full page, sidebar "Ask LoanLens" entry and per-application sidebar sub-navigation</t>
        </is>
      </c>
      <c r="D138" t="inlineStr">
        <is>
          <t>Completed</t>
        </is>
      </c>
      <c r="F138" t="inlineStr">
        <is>
          <t>The floating launcher is hidden on the Assistant page (it covered Send). chatBus.js lets the sidebar open the chat.</t>
        </is>
      </c>
    </row>
    <row r="139">
      <c r="A139" t="n">
        <v>138</v>
      </c>
      <c r="B139" t="inlineStr">
        <is>
          <t>6. RAG Assistant (Conversational Q&amp;A)</t>
        </is>
      </c>
      <c r="C139" t="inlineStr">
        <is>
          <t>Chat answers application-state questions from real data and opens the matching page</t>
        </is>
      </c>
      <c r="D139" t="inlineStr">
        <is>
          <t>Completed</t>
        </is>
      </c>
      <c r="F139" t="inlineStr">
        <is>
          <t>assistantActions.js: documents / progress / verification / action needed (+ decision for staff). No AI credits needed. Questions naming another person go to the server, which enforces access.</t>
        </is>
      </c>
    </row>
    <row r="140">
      <c r="A140" t="n">
        <v>139</v>
      </c>
      <c r="B140" t="inlineStr">
        <is>
          <t>6. RAG Assistant (Conversational Q&amp;A)</t>
        </is>
      </c>
      <c r="C140" t="inlineStr">
        <is>
          <t>Grouped sample questions in the chat (documents, progress, verification, policy; officer and underwriter sets)</t>
        </is>
      </c>
      <c r="D140" t="inlineStr">
        <is>
          <t>Completed</t>
        </is>
      </c>
      <c r="F140" t="inlineStr">
        <is>
          <t>AssistantTab.js. Policy-source navigation with sentence highlighting is Section 20.</t>
        </is>
      </c>
    </row>
    <row r="141">
      <c r="A141" t="n">
        <v>140</v>
      </c>
      <c r="B141" t="inlineStr">
        <is>
          <t>10. Hosting &amp; Deployment</t>
        </is>
      </c>
      <c r="C141" t="inlineStr">
        <is>
          <t>Anthropic API credits / billing — IT ticket #2166509</t>
        </is>
      </c>
      <c r="D141" t="inlineStr">
        <is>
          <t>In Progress</t>
        </is>
      </c>
      <c r="F141" t="inlineStr">
        <is>
          <t>Key returns HTTP 400 "credit balance too low"; Console shows $0.00 on the Evaluation plan. Blocks live extraction and the AI assistant. backend/check-credits.js reproduces it. Meanwhile use MOCK_AI=true or the Groq provider.</t>
        </is>
      </c>
    </row>
    <row r="142">
      <c r="A142" t="n">
        <v>141</v>
      </c>
      <c r="B142" t="inlineStr">
        <is>
          <t>10. Hosting &amp; Deployment</t>
        </is>
      </c>
      <c r="C142" t="inlineStr">
        <is>
          <t>Rotate the Anthropic API key (it was visible in a screenshot) and update backend/.env and the Render environment</t>
        </is>
      </c>
      <c r="D142" t="inlineStr">
        <is>
          <t>Not Started</t>
        </is>
      </c>
      <c r="F142" t="inlineStr">
        <is>
          <t>Do this once billing is active. The key must only live in .env, never in .env.example.</t>
        </is>
      </c>
    </row>
    <row r="143">
      <c r="A143" t="n">
        <v>142</v>
      </c>
      <c r="B143" t="inlineStr">
        <is>
          <t>12. Documentation</t>
        </is>
      </c>
      <c r="C143" t="inlineStr">
        <is>
          <t>Reconcile LoanLensAI_RAG_Implementation_Plan.xlsx statuses with the code</t>
        </is>
      </c>
      <c r="D143" t="inlineStr">
        <is>
          <t>Not Started</t>
        </is>
      </c>
      <c r="F143" t="inlineStr">
        <is>
          <t>All 83 tasks read "Not Started" although R2 file storage and several RAG commits landed after 2026-10-02.</t>
        </is>
      </c>
    </row>
    <row r="144">
      <c r="A144" t="n">
        <v>143</v>
      </c>
      <c r="B144" t="inlineStr">
        <is>
          <t>12. Documentation</t>
        </is>
      </c>
      <c r="C144" t="inlineStr">
        <is>
          <t>Ask Rovo / ThoughtFocus mentor questions Q01–Q13 and record the answers</t>
        </is>
      </c>
      <c r="D144" t="inlineStr">
        <is>
          <t>Not Started</t>
        </is>
      </c>
      <c r="F144" t="inlineStr">
        <is>
          <t>Rovo Questions sheet of the RAG plan: all 13 still "Open", no answers. Priority: Q01 (approved cloud account), Q02 (third-party policy), Q03/Q04 (tenant isolation), Q06 (approved embeddings), Q09 (RAG evaluation).</t>
        </is>
      </c>
    </row>
    <row r="145">
      <c r="A145" t="n">
        <v>144</v>
      </c>
      <c r="B145" t="inlineStr">
        <is>
          <t>12. Documentation</t>
        </is>
      </c>
      <c r="C145" t="inlineStr">
        <is>
          <t>Document "Proposal vs Built" for the pitch (see the new sheet in this workbook) and the stack deviation (FastAPI/Azure vs Node/Claude)</t>
        </is>
      </c>
      <c r="D145" t="inlineStr">
        <is>
          <t>Completed</t>
        </is>
      </c>
      <c r="F145" t="inlineStr">
        <is>
          <t>Sheet added 2026-10-22; keep it current so the demo never claims an unbuilt feature. [2026-10-24] Sheet "Proposal vs Built" is in this workbook; revisit when features land.</t>
        </is>
      </c>
    </row>
    <row r="146">
      <c r="A146" t="n">
        <v>145</v>
      </c>
      <c r="B146" t="inlineStr">
        <is>
          <t>18. Loan Decision &amp; Underwriter Exception Workflow</t>
        </is>
      </c>
      <c r="C146" t="inlineStr">
        <is>
          <t>Underwriter role — seeded login, not self-registrable, read-only on documents</t>
        </is>
      </c>
      <c r="D146" t="inlineStr">
        <is>
          <t>Completed</t>
        </is>
      </c>
      <c r="F146" t="inlineStr">
        <is>
          <t>underwriter@loanlens.demo. config/roles.js; self-registration still only offers officer / borrower.</t>
        </is>
      </c>
    </row>
    <row r="147">
      <c r="A147" t="n">
        <v>146</v>
      </c>
      <c r="B147" t="inlineStr">
        <is>
          <t>18. Loan Decision &amp; Underwriter Exception Workflow</t>
        </is>
      </c>
      <c r="C147" t="inlineStr">
        <is>
          <t>Decision endpoint: approve / decline / refer / return, enforced by role and application state</t>
        </is>
      </c>
      <c r="D147" t="inlineStr">
        <is>
          <t>Completed</t>
        </is>
      </c>
      <c r="F147" t="inlineStr">
        <is>
          <t>POST /applications/:id/decision; all rules in services/decisionRules.js. Before this, nothing in the app could set approved or rejected.</t>
        </is>
      </c>
    </row>
    <row r="148">
      <c r="A148" t="n">
        <v>147</v>
      </c>
      <c r="B148" t="inlineStr">
        <is>
          <t>18. Loan Decision &amp; Underwriter Exception Workflow</t>
        </is>
      </c>
      <c r="C148" t="inlineStr">
        <is>
          <t>Policy-parameter assessment: documents, identity, income, credit score, affordability — waivable vs non-waivable</t>
        </is>
      </c>
      <c r="D148" t="inlineStr">
        <is>
          <t>Completed</t>
        </is>
      </c>
      <c r="F148" t="inlineStr">
        <is>
          <t>Only credit score and affordability can be waived. Name / SSN / document-type / income mismatches and missing documents can only be fixed.</t>
        </is>
      </c>
    </row>
    <row r="149">
      <c r="A149" t="n">
        <v>148</v>
      </c>
      <c r="B149" t="inlineStr">
        <is>
          <t>18. Loan Decision &amp; Underwriter Exception Workflow</t>
        </is>
      </c>
      <c r="C149" t="inlineStr">
        <is>
          <t>Credit score entry by staff, locked to whoever currently holds the file</t>
        </is>
      </c>
      <c r="D149" t="inlineStr">
        <is>
          <t>Completed</t>
        </is>
      </c>
      <c r="F149" t="inlineStr">
        <is>
          <t>PUT /applications/:id/credit-score; manual entry (no bureau pull). Officer before referral, underwriter while referred.</t>
        </is>
      </c>
    </row>
    <row r="150">
      <c r="A150" t="n">
        <v>149</v>
      </c>
      <c r="B150" t="inlineStr">
        <is>
          <t>18. Loan Decision &amp; Underwriter Exception Workflow</t>
        </is>
      </c>
      <c r="C150" t="inlineStr">
        <is>
          <t>Exception approval: waived parameters, compensating factors, "who knows the borrower" note, conditions of approval</t>
        </is>
      </c>
      <c r="D150" t="inlineStr">
        <is>
          <t>Completed</t>
        </is>
      </c>
      <c r="F150" t="inlineStr">
        <is>
          <t>Compensating factors required (20+ chars); every unmet parameter must be named.</t>
        </is>
      </c>
    </row>
    <row r="151">
      <c r="A151" t="n">
        <v>150</v>
      </c>
      <c r="B151" t="inlineStr">
        <is>
          <t>18. Loan Decision &amp; Underwriter Exception Workflow</t>
        </is>
      </c>
      <c r="C151" t="inlineStr">
        <is>
          <t>Append-only audit trail of every review action (who, role, when, note, details)</t>
        </is>
      </c>
      <c r="D151" t="inlineStr">
        <is>
          <t>Completed</t>
        </is>
      </c>
      <c r="F151" t="inlineStr">
        <is>
          <t>Application.reviewHistory; shown on the Decision page. Covers decisions only — extraction events are in Section 19.</t>
        </is>
      </c>
    </row>
    <row r="152">
      <c r="A152" t="n">
        <v>151</v>
      </c>
      <c r="B152" t="inlineStr">
        <is>
          <t>18. Loan Decision &amp; Underwriter Exception Workflow</t>
        </is>
      </c>
      <c r="C152" t="inlineStr">
        <is>
          <t>Borrower-safe view: outcome, reasons or conditions only — never the score, audit trail or exception rationale</t>
        </is>
      </c>
      <c r="D152" t="inlineStr">
        <is>
          <t>Completed</t>
        </is>
      </c>
      <c r="F152" t="inlineStr">
        <is>
          <t>forViewer() + borrowerNotice(); unit-tested on the real functions.</t>
        </is>
      </c>
    </row>
    <row r="153">
      <c r="A153" t="n">
        <v>152</v>
      </c>
      <c r="B153" t="inlineStr">
        <is>
          <t>18. Loan Decision &amp; Underwriter Exception Workflow</t>
        </is>
      </c>
      <c r="C153" t="inlineStr">
        <is>
          <t>Documents locked while an application is referred or decided</t>
        </is>
      </c>
      <c r="D153" t="inlineStr">
        <is>
          <t>Completed</t>
        </is>
      </c>
      <c r="F153" t="inlineStr">
        <is>
          <t>documents.js upload / delete return 409; underwriter can preview files but not change them.</t>
        </is>
      </c>
    </row>
    <row r="154">
      <c r="A154" t="n">
        <v>153</v>
      </c>
      <c r="B154" t="inlineStr">
        <is>
          <t>18. Loan Decision &amp; Underwriter Exception Workflow</t>
        </is>
      </c>
      <c r="C154" t="inlineStr">
        <is>
          <t>Staff-only Decision page, "With Underwriter" status, Underwriter portal heading, staff chat questions</t>
        </is>
      </c>
      <c r="D154" t="inlineStr">
        <is>
          <t>Completed</t>
        </is>
      </c>
      <c r="F154" t="inlineStr">
        <is>
          <t>DecisionTab.js. Tested in the browser against a mock API that uses the real rules.</t>
        </is>
      </c>
    </row>
    <row r="155">
      <c r="A155" t="n">
        <v>154</v>
      </c>
      <c r="B155" t="inlineStr">
        <is>
          <t>18. Loan Decision &amp; Underwriter Exception Workflow</t>
        </is>
      </c>
      <c r="C155" t="inlineStr">
        <is>
          <t>Unit tests for decision rules and borrower-view privacy</t>
        </is>
      </c>
      <c r="D155" t="inlineStr">
        <is>
          <t>Completed</t>
        </is>
      </c>
      <c r="F155" t="inlineStr">
        <is>
          <t>backend/test/decisions/ — 21 tests.</t>
        </is>
      </c>
    </row>
    <row r="156">
      <c r="A156" t="n">
        <v>155</v>
      </c>
      <c r="B156" t="inlineStr">
        <is>
          <t>18. Loan Decision &amp; Underwriter Exception Workflow</t>
        </is>
      </c>
      <c r="C156" t="inlineStr">
        <is>
          <t>Confirm the real minimum credit score per product with the bank</t>
        </is>
      </c>
      <c r="D156" t="inlineStr">
        <is>
          <t>Not Started</t>
        </is>
      </c>
      <c r="F156" t="inlineStr">
        <is>
          <t>NEEDS INPUT — 620 (auto) / 660 (personal) / 680 (business) in config/underwriting.js are demo placeholders. Also add the "Credit Checks &amp; Credit Score Policy" document (Section 20).</t>
        </is>
      </c>
    </row>
    <row r="157">
      <c r="A157" t="n">
        <v>156</v>
      </c>
      <c r="B157" t="inlineStr">
        <is>
          <t>18. Loan Decision &amp; Underwriter Exception Workflow</t>
        </is>
      </c>
      <c r="C157" t="inlineStr">
        <is>
          <t>Click-through of the full officer &gt; underwriter &gt; borrower flow on real MongoDB</t>
        </is>
      </c>
      <c r="D157" t="inlineStr">
        <is>
          <t>Not Started</t>
        </is>
      </c>
      <c r="F157" t="inlineStr">
        <is>
          <t>Only unit tests and a mock API so far. Run npm run reset first (adds the underwriter and Arjun Mehta score 598).</t>
        </is>
      </c>
    </row>
    <row r="158">
      <c r="A158" t="n">
        <v>157</v>
      </c>
      <c r="B158" t="inlineStr">
        <is>
          <t>18. Loan Decision &amp; Underwriter Exception Workflow</t>
        </is>
      </c>
      <c r="C158" t="inlineStr">
        <is>
          <t>Add the credit-exception scenario to DEMO_SCRIPT.md</t>
        </is>
      </c>
      <c r="D158" t="inlineStr">
        <is>
          <t>Completed</t>
        </is>
      </c>
      <c r="F158" t="inlineStr">
        <is>
          <t>Arjun Mehta (score 598): officer cannot approve, refers, underwriter approves with an exception, borrower sees only the outcome. [2026-10-24] Added as "Act 2" in docs/DEMO_SCRIPT.md (five stories, exception walk-through, jury Q&amp;A).</t>
        </is>
      </c>
    </row>
    <row r="159">
      <c r="A159" t="n">
        <v>158</v>
      </c>
      <c r="B159" t="inlineStr">
        <is>
          <t>18. Loan Decision &amp; Underwriter Exception Workflow</t>
        </is>
      </c>
      <c r="C159" t="inlineStr">
        <is>
          <t>Notify on referral and decision (email / in-app)</t>
        </is>
      </c>
      <c r="D159" t="inlineStr">
        <is>
          <t>Not Started</t>
        </is>
      </c>
      <c r="F159" t="inlineStr">
        <is>
          <t>Policy text already promises notification.</t>
        </is>
      </c>
    </row>
    <row r="160">
      <c r="A160" t="n">
        <v>159</v>
      </c>
      <c r="B160" t="inlineStr">
        <is>
          <t>18. Loan Decision &amp; Underwriter Exception Workflow</t>
        </is>
      </c>
      <c r="C160" t="inlineStr">
        <is>
          <t>Underwriter queue view — referred files first, with filters</t>
        </is>
      </c>
      <c r="D160" t="inlineStr">
        <is>
          <t>Not Started</t>
        </is>
      </c>
      <c r="F160" t="inlineStr">
        <is>
          <t>Underwriters currently see every application; referred ones show "With Underwriter".</t>
        </is>
      </c>
    </row>
    <row r="161">
      <c r="A161" t="n">
        <v>160</v>
      </c>
      <c r="B161" t="inlineStr">
        <is>
          <t>18. Loan Decision &amp; Underwriter Exception Workflow</t>
        </is>
      </c>
      <c r="C161" t="inlineStr">
        <is>
          <t>Approval limits / dual control (second approver above a loan amount)</t>
        </is>
      </c>
      <c r="D161" t="inlineStr">
        <is>
          <t>Not Started</t>
        </is>
      </c>
      <c r="F161" t="inlineStr">
        <is>
          <t>Typical bank control; not in the proposal.</t>
        </is>
      </c>
    </row>
    <row r="162">
      <c r="A162" t="n">
        <v>161</v>
      </c>
      <c r="B162" t="inlineStr">
        <is>
          <t>18. Loan Decision &amp; Underwriter Exception Workflow</t>
        </is>
      </c>
      <c r="C162" t="inlineStr">
        <is>
          <t>Appeals — re-open a decided application</t>
        </is>
      </c>
      <c r="D162" t="inlineStr">
        <is>
          <t>Not Started</t>
        </is>
      </c>
      <c r="F162" t="inlineStr">
        <is>
          <t>A decided application is currently immutable.</t>
        </is>
      </c>
    </row>
    <row r="163">
      <c r="A163" t="n">
        <v>162</v>
      </c>
      <c r="B163" t="inlineStr">
        <is>
          <t>18. Loan Decision &amp; Underwriter Exception Workflow</t>
        </is>
      </c>
      <c r="C163" t="inlineStr">
        <is>
          <t>Compliant adverse-action notice (ECOA / Reg B): creditor details, bureau disclosure when a report was used, delivery deadline</t>
        </is>
      </c>
      <c r="D163" t="inlineStr">
        <is>
          <t>Not Started</t>
        </is>
      </c>
      <c r="F163" t="inlineStr">
        <is>
          <t>Current notice is generic template wording — needs compliance review. Related to task 52.</t>
        </is>
      </c>
    </row>
    <row r="164">
      <c r="A164" t="n">
        <v>163</v>
      </c>
      <c r="B164" t="inlineStr">
        <is>
          <t>18. Loan Decision &amp; Underwriter Exception Workflow</t>
        </is>
      </c>
      <c r="C164" t="inlineStr">
        <is>
          <t>Co-signer / guarantor role (borrower-side, liable, submits own documents)</t>
        </is>
      </c>
      <c r="D164" t="inlineStr">
        <is>
          <t>Not Started</t>
        </is>
      </c>
      <c r="F164" t="inlineStr">
        <is>
          <t>Different from the underwriter: a person who vouches AND signs. Needs the multi-party model in Section 14.</t>
        </is>
      </c>
    </row>
    <row r="165">
      <c r="A165" t="n">
        <v>164</v>
      </c>
      <c r="B165" t="inlineStr">
        <is>
          <t>19. Proposal Gaps — Promised in Submission, Not Yet Built</t>
        </is>
      </c>
      <c r="C165" t="inlineStr">
        <is>
          <t>Binder dump: auto-split and classify a large mixed PDF (200–500 pages)</t>
        </is>
      </c>
      <c r="D165" t="inlineStr">
        <is>
          <t>Not Started</t>
        </is>
      </c>
      <c r="F165" t="inlineStr">
        <is>
          <t>Headline feature of the submission. Today one upload is treated as one document.</t>
        </is>
      </c>
    </row>
    <row r="166">
      <c r="A166" t="n">
        <v>165</v>
      </c>
      <c r="B166" t="inlineStr">
        <is>
          <t>19. Proposal Gaps — Promised in Submission, Not Yet Built</t>
        </is>
      </c>
      <c r="C166" t="inlineStr">
        <is>
          <t>TILA / RESPA disclosure-timing compliance checks</t>
        </is>
      </c>
      <c r="D166" t="inlineStr">
        <is>
          <t>Not Started</t>
        </is>
      </c>
      <c r="F166" t="inlineStr">
        <is>
          <t>Promised in the submission; no rule or data exists yet.</t>
        </is>
      </c>
    </row>
    <row r="167">
      <c r="A167" t="n">
        <v>166</v>
      </c>
      <c r="B167" t="inlineStr">
        <is>
          <t>19. Proposal Gaps — Promised in Submission, Not Yet Built</t>
        </is>
      </c>
      <c r="C167" t="inlineStr">
        <is>
          <t>MISMO-standard JSON output for LOS integration</t>
        </is>
      </c>
      <c r="D167" t="inlineStr">
        <is>
          <t>Not Started</t>
        </is>
      </c>
      <c r="F167" t="inlineStr">
        <is>
          <t>Phase 3 in the submission; legitimately later.</t>
        </is>
      </c>
    </row>
    <row r="168">
      <c r="A168" t="n">
        <v>167</v>
      </c>
      <c r="B168" t="inlineStr">
        <is>
          <t>19. Proposal Gaps — Promised in Submission, Not Yet Built</t>
        </is>
      </c>
      <c r="C168" t="inlineStr">
        <is>
          <t>Cross-document address check (application vs licence / pay stub / bank statement)</t>
        </is>
      </c>
      <c r="D168" t="inlineStr">
        <is>
          <t>Not Started</t>
        </is>
      </c>
      <c r="F168" t="inlineStr">
        <is>
          <t>Submission promised name, SSN, income and address. Address is extracted but not compared. Distinct from task 131 (USPS validation).</t>
        </is>
      </c>
    </row>
    <row r="169">
      <c r="A169" t="n">
        <v>168</v>
      </c>
      <c r="B169" t="inlineStr">
        <is>
          <t>19. Proposal Gaps — Promised in Submission, Not Yet Built</t>
        </is>
      </c>
      <c r="C169" t="inlineStr">
        <is>
          <t>Complete audit trail of every extraction and decision</t>
        </is>
      </c>
      <c r="D169" t="inlineStr">
        <is>
          <t>In Progress</t>
        </is>
      </c>
      <c r="F169" t="inlineStr">
        <is>
          <t>Decisions and credit-score entries are logged (Section 18). Uploads, extractions and re-verifications are not.</t>
        </is>
      </c>
    </row>
    <row r="170">
      <c r="A170" t="n">
        <v>169</v>
      </c>
      <c r="B170" t="inlineStr">
        <is>
          <t>19. Proposal Gaps — Promised in Submission, Not Yet Built</t>
        </is>
      </c>
      <c r="C170" t="inlineStr">
        <is>
          <t>Multi-tenant SaaS: per-bank tenancy and policy indexing</t>
        </is>
      </c>
      <c r="D170" t="inlineStr">
        <is>
          <t>Not Started</t>
        </is>
      </c>
      <c r="F170" t="inlineStr">
        <is>
          <t>RAG plan phase P2; the app is single-bank today.</t>
        </is>
      </c>
    </row>
    <row r="171">
      <c r="A171" t="n">
        <v>170</v>
      </c>
      <c r="B171" t="inlineStr">
        <is>
          <t>19. Proposal Gaps — Promised in Submission, Not Yet Built</t>
        </is>
      </c>
      <c r="C171" t="inlineStr">
        <is>
          <t>GLBA / SOC 2-aligned controls: encryption at rest, zero-retention LLM terms, access logging</t>
        </is>
      </c>
      <c r="D171" t="inlineStr">
        <is>
          <t>Not Started</t>
        </is>
      </c>
      <c r="F171" t="inlineStr">
        <is>
          <t>Submission risk-mitigation promise; only role-based access exists today.</t>
        </is>
      </c>
    </row>
    <row r="172">
      <c r="A172" t="n">
        <v>171</v>
      </c>
      <c r="B172" t="inlineStr">
        <is>
          <t>19. Proposal Gaps — Promised in Submission, Not Yet Built</t>
        </is>
      </c>
      <c r="C172" t="inlineStr">
        <is>
          <t>Pay stub / bank statement recency check (policy: within 30 days)</t>
        </is>
      </c>
      <c r="D172" t="inlineStr">
        <is>
          <t>Not Started</t>
        </is>
      </c>
      <c r="F172" t="inlineStr">
        <is>
          <t>Policy and FAQ say older documents are rejected; verification.js has no date check.</t>
        </is>
      </c>
    </row>
    <row r="173">
      <c r="A173" t="n">
        <v>172</v>
      </c>
      <c r="B173" t="inlineStr">
        <is>
          <t>19. Proposal Gaps — Promised in Submission, Not Yet Built</t>
        </is>
      </c>
      <c r="C173" t="inlineStr">
        <is>
          <t>ID expiry check (policy: expired IDs are not accepted)</t>
        </is>
      </c>
      <c r="D173" t="inlineStr">
        <is>
          <t>Not Started</t>
        </is>
      </c>
      <c r="F173" t="inlineStr">
        <is>
          <t>No expiry field is extracted or checked.</t>
        </is>
      </c>
    </row>
    <row r="174">
      <c r="A174" t="n">
        <v>173</v>
      </c>
      <c r="B174" t="inlineStr">
        <is>
          <t>19. Proposal Gaps — Promised in Submission, Not Yet Built</t>
        </is>
      </c>
      <c r="C174" t="inlineStr">
        <is>
          <t>Edit an application after submission (FAQ says borrowers can)</t>
        </is>
      </c>
      <c r="D174" t="inlineStr">
        <is>
          <t>Not Started</t>
        </is>
      </c>
      <c r="F174" t="inlineStr">
        <is>
          <t>No edit endpoint or screen exists.</t>
        </is>
      </c>
    </row>
    <row r="175">
      <c r="A175" t="n">
        <v>174</v>
      </c>
      <c r="B175" t="inlineStr">
        <is>
          <t>19. Proposal Gaps — Promised in Submission, Not Yet Built</t>
        </is>
      </c>
      <c r="C175" t="inlineStr">
        <is>
          <t>Reconcile policy text with code: payment ratios (policy 3x / 45% vs code 15% / 20%) and term options</t>
        </is>
      </c>
      <c r="D175" t="inlineStr">
        <is>
          <t>Not Started</t>
        </is>
      </c>
      <c r="F175" t="inlineStr">
        <is>
          <t>Answers currently quote the policy numbers, not the ones the system enforces. See docs/POLICY_COVERAGE_AND_QUESTIONS.md section 1.</t>
        </is>
      </c>
    </row>
    <row r="176">
      <c r="A176" t="n">
        <v>175</v>
      </c>
      <c r="B176" t="inlineStr">
        <is>
          <t>19. Proposal Gaps — Promised in Submission, Not Yet Built</t>
        </is>
      </c>
      <c r="C176" t="inlineStr">
        <is>
          <t>Auto loan: capture vehicle value / purchase document for the "110% of book value" rule</t>
        </is>
      </c>
      <c r="D176" t="inlineStr">
        <is>
          <t>Not Started</t>
        </is>
      </c>
      <c r="F176" t="inlineStr">
        <is>
          <t>Policy states the limit; no field or document supports it.</t>
        </is>
      </c>
    </row>
    <row r="177">
      <c r="A177" t="n">
        <v>176</v>
      </c>
      <c r="B177" t="inlineStr">
        <is>
          <t>19. Proposal Gaps — Promised in Submission, Not Yet Built</t>
        </is>
      </c>
      <c r="C177" t="inlineStr">
        <is>
          <t>Review policy promises the product does not keep (email notice, rejection of blurry documents)</t>
        </is>
      </c>
      <c r="D177" t="inlineStr">
        <is>
          <t>Not Started</t>
        </is>
      </c>
      <c r="F177" t="inlineStr">
        <is>
          <t>Either build the behaviour or reword the policy; list in POLICY_COVERAGE_AND_QUESTIONS.md section 1b.</t>
        </is>
      </c>
    </row>
    <row r="178">
      <c r="A178" t="n">
        <v>177</v>
      </c>
      <c r="B178" t="inlineStr">
        <is>
          <t>20. Policy Documents &amp; Policy Page</t>
        </is>
      </c>
      <c r="C178" t="inlineStr">
        <is>
          <t>Check which policy documents are actually live in the admin panel and compare with the required list</t>
        </is>
      </c>
      <c r="D178" t="inlineStr">
        <is>
          <t>Not Started</t>
        </is>
      </c>
      <c r="F178" t="inlineStr">
        <is>
          <t>Uploads are stored only as Chroma chunks; GET /rag-admin/documents (admin login) lists them. Not readable from the dev machine.</t>
        </is>
      </c>
    </row>
    <row r="179">
      <c r="A179" t="n">
        <v>178</v>
      </c>
      <c r="B179" t="inlineStr">
        <is>
          <t>20. Policy Documents &amp; Policy Page</t>
        </is>
      </c>
      <c r="C179" t="inlineStr">
        <is>
          <t>Policy document: Interest Rates, Fees &amp; Charges</t>
        </is>
      </c>
      <c r="D179" t="inlineStr">
        <is>
          <t>Not Started</t>
        </is>
      </c>
      <c r="F179" t="inlineStr">
        <is>
          <t>Priority 1. Router already sends rate / fee questions to policy; no document exists. Must not quote specific rates.</t>
        </is>
      </c>
    </row>
    <row r="180">
      <c r="A180" t="n">
        <v>179</v>
      </c>
      <c r="B180" t="inlineStr">
        <is>
          <t>20. Policy Documents &amp; Policy Page</t>
        </is>
      </c>
      <c r="C180" t="inlineStr">
        <is>
          <t>Policy document: Repayment, Prepayment &amp; Foreclosure</t>
        </is>
      </c>
      <c r="D180" t="inlineStr">
        <is>
          <t>Not Started</t>
        </is>
      </c>
      <c r="F180" t="inlineStr">
        <is>
          <t>Priority 1.</t>
        </is>
      </c>
    </row>
    <row r="181">
      <c r="A181" t="n">
        <v>180</v>
      </c>
      <c r="B181" t="inlineStr">
        <is>
          <t>20. Policy Documents &amp; Policy Page</t>
        </is>
      </c>
      <c r="C181" t="inlineStr">
        <is>
          <t>Policy document: Credit Checks &amp; Credit Score Policy</t>
        </is>
      </c>
      <c r="D181" t="inlineStr">
        <is>
          <t>Not Started</t>
        </is>
      </c>
      <c r="F181" t="inlineStr">
        <is>
          <t>Priority 1. Also supplies the minimum scores used by the underwriter workflow.</t>
        </is>
      </c>
    </row>
    <row r="182">
      <c r="A182" t="n">
        <v>181</v>
      </c>
      <c r="B182" t="inlineStr">
        <is>
          <t>20. Policy Documents &amp; Policy Page</t>
        </is>
      </c>
      <c r="C182" t="inlineStr">
        <is>
          <t>Policy document: Co-signers &amp; Joint Applicants</t>
        </is>
      </c>
      <c r="D182" t="inlineStr">
        <is>
          <t>Not Started</t>
        </is>
      </c>
      <c r="F182" t="inlineStr">
        <is>
          <t>Priority 1.</t>
        </is>
      </c>
    </row>
    <row r="183">
      <c r="A183" t="n">
        <v>182</v>
      </c>
      <c r="B183" t="inlineStr">
        <is>
          <t>20. Policy Documents &amp; Policy Page</t>
        </is>
      </c>
      <c r="C183" t="inlineStr">
        <is>
          <t>Policy document: Collateral &amp; Vehicle Requirements (auto)</t>
        </is>
      </c>
      <c r="D183" t="inlineStr">
        <is>
          <t>Not Started</t>
        </is>
      </c>
      <c r="F183" t="inlineStr">
        <is>
          <t>Priority 1.</t>
        </is>
      </c>
    </row>
    <row r="184">
      <c r="A184" t="n">
        <v>183</v>
      </c>
      <c r="B184" t="inlineStr">
        <is>
          <t>20. Policy Documents &amp; Policy Page</t>
        </is>
      </c>
      <c r="C184" t="inlineStr">
        <is>
          <t>Policy document: Adverse Action, Denial Reasons &amp; Appeals</t>
        </is>
      </c>
      <c r="D184" t="inlineStr">
        <is>
          <t>Not Started</t>
        </is>
      </c>
      <c r="F184" t="inlineStr">
        <is>
          <t>Priority 1.</t>
        </is>
      </c>
    </row>
    <row r="185">
      <c r="A185" t="n">
        <v>184</v>
      </c>
      <c r="B185" t="inlineStr">
        <is>
          <t>20. Policy Documents &amp; Policy Page</t>
        </is>
      </c>
      <c r="C185" t="inlineStr">
        <is>
          <t>Policy documents, priority 2: late payment &amp; hardship, privacy &amp; retention, closing &amp; disbursement, contact &amp; escalation, eligibility by employment type</t>
        </is>
      </c>
      <c r="D185" t="inlineStr">
        <is>
          <t>Not Started</t>
        </is>
      </c>
      <c r="F185" t="inlineStr">
        <is>
          <t>See POLICY_COVERAGE_AND_QUESTIONS.md section 3.</t>
        </is>
      </c>
    </row>
    <row r="186">
      <c r="A186" t="n">
        <v>185</v>
      </c>
      <c r="B186" t="inlineStr">
        <is>
          <t>20. Policy Documents &amp; Policy Page</t>
        </is>
      </c>
      <c r="C186" t="inlineStr">
        <is>
          <t>Remove the "Fictional policy… synthetic content" banner line from every policy file</t>
        </is>
      </c>
      <c r="D186" t="inlineStr">
        <is>
          <t>Not Started</t>
        </is>
      </c>
      <c r="F186" t="inlineStr">
        <is>
          <t>It lands inside the first retrieved chunk and can be quoted in answers.</t>
        </is>
      </c>
    </row>
    <row r="187">
      <c r="A187" t="n">
        <v>186</v>
      </c>
      <c r="B187" t="inlineStr">
        <is>
          <t>20. Policy Documents &amp; Policy Page</t>
        </is>
      </c>
      <c r="C187" t="inlineStr">
        <is>
          <t>Policy read API: list documents and return chunks in order (any logged-in user)</t>
        </is>
      </c>
      <c r="D187" t="inlineStr">
        <is>
          <t>Not Started</t>
        </is>
      </c>
      <c r="F187" t="inlineStr">
        <is>
          <t>Needed by the policy page; getCollectionRecords must also request document text.</t>
        </is>
      </c>
    </row>
    <row r="188">
      <c r="A188" t="n">
        <v>187</v>
      </c>
      <c r="B188" t="inlineStr">
        <is>
          <t>20. Policy Documents &amp; Policy Page</t>
        </is>
      </c>
      <c r="C188" t="inlineStr">
        <is>
          <t>Policy page: open the cited policy, highlight the matching sentence, link from chat sources and sidebar</t>
        </is>
      </c>
      <c r="D188" t="inlineStr">
        <is>
          <t>Not Started</t>
        </is>
      </c>
      <c r="F188" t="inlineStr">
        <is>
          <t>Design in POLICY_COVERAGE_AND_QUESTIONS.md section 5. Open decision: which policies borrowers may see.</t>
        </is>
      </c>
    </row>
    <row r="189">
      <c r="A189" t="n">
        <v>188</v>
      </c>
      <c r="B189" t="inlineStr">
        <is>
          <t>20. Policy Documents &amp; Policy Page</t>
        </is>
      </c>
      <c r="C189" t="inlineStr">
        <is>
          <t>Add the 55 question scenarios to data/seed/test-questions.md and run them</t>
        </is>
      </c>
      <c r="D189" t="inlineStr">
        <is>
          <t>Not Started</t>
        </is>
      </c>
      <c r="F189" t="inlineStr">
        <is>
          <t>Covers policy, own-application, mixed, follow-up, refuse and officer questions.</t>
        </is>
      </c>
    </row>
    <row r="190">
      <c r="A190" t="n">
        <v>189</v>
      </c>
      <c r="B190" t="inlineStr">
        <is>
          <t>17. Identity, Address &amp; Credit Verification (KYC / Underwriting)</t>
        </is>
      </c>
      <c r="C190" t="inlineStr">
        <is>
          <t>Simulated bureau: SSN / name / date-of-birth match, sanctions screening and credit report from scripted test records</t>
        </is>
      </c>
      <c r="D190" t="inlineStr">
        <is>
          <t>Completed</t>
        </is>
      </c>
      <c r="F190" t="inlineStr">
        <is>
          <t>services/simulatedBureau.js, config/testPersonas.js; route POST /applications/:id/verify. Labelled "Simulated" in the UI and audit trail. A real provider replaces one call.</t>
        </is>
      </c>
    </row>
    <row r="191">
      <c r="A191" t="n">
        <v>190</v>
      </c>
      <c r="B191" t="inlineStr">
        <is>
          <t>17. Identity, Address &amp; Credit Verification (KYC / Underwriting)</t>
        </is>
      </c>
      <c r="C191" t="inlineStr">
        <is>
          <t>Driver's licence checks on upload: expiry, date of birth and address vs the application</t>
        </is>
      </c>
      <c r="D191" t="inlineStr">
        <is>
          <t>Completed</t>
        </is>
      </c>
      <c r="F191" t="inlineStr">
        <is>
          <t>Real checks, not simulated. Expired ID is a mismatch (borrower must re-upload); an address difference is only a warning. Extraction prompts now read dateOfBirth, licenseNumber, licenseExpiry.</t>
        </is>
      </c>
    </row>
    <row r="192">
      <c r="A192" t="n">
        <v>191</v>
      </c>
      <c r="B192" t="inlineStr">
        <is>
          <t>17. Identity, Address &amp; Credit Verification (KYC / Underwriting)</t>
        </is>
      </c>
      <c r="C192" t="inlineStr">
        <is>
          <t>Five jury test borrowers with pre-loaded documents: Priya (clean), Arjun (low score), Rohan (SSN mismatch), Meera (expired ID), Kavya (no credit history)</t>
        </is>
      </c>
      <c r="D192" t="inlineStr">
        <is>
          <t>Completed</t>
        </is>
      </c>
      <c r="F192" t="inlineStr">
        <is>
          <t>services/seedData.js; documents from data/seed/generate_persona_documents.py. Walkthrough in docs/SIMULATED_VERIFICATION.md.</t>
        </is>
      </c>
    </row>
    <row r="193">
      <c r="A193" t="n">
        <v>192</v>
      </c>
      <c r="B193" t="inlineStr">
        <is>
          <t>17. Identity, Address &amp; Credit Verification (KYC / Underwriting)</t>
        </is>
      </c>
      <c r="C193" t="inlineStr">
        <is>
          <t>Decision page: "Run identity and credit checks" card; identity and sanctions are non-waivable parameters</t>
        </is>
      </c>
      <c r="D193" t="inlineStr">
        <is>
          <t>Completed</t>
        </is>
      </c>
      <c r="F193" t="inlineStr">
        <is>
          <t>Nothing can be approved or referred until the checks have been run. A score can still be typed in by hand (thin-file borrowers).</t>
        </is>
      </c>
    </row>
    <row r="194">
      <c r="A194" t="n">
        <v>193</v>
      </c>
      <c r="B194" t="inlineStr">
        <is>
          <t>17. Identity, Address &amp; Credit Verification (KYC / Underwriting)</t>
        </is>
      </c>
      <c r="C194" t="inlineStr">
        <is>
          <t>Shared seed module for `npm run seed` and /admin/reset (previously two copies)</t>
        </is>
      </c>
      <c r="D194" t="inlineStr">
        <is>
          <t>Completed</t>
        </is>
      </c>
      <c r="F194" t="inlineStr">
        <is>
          <t>services/seedData.js. Arjun Mehta now ships with his documents pre-loaded.</t>
        </is>
      </c>
    </row>
    <row r="195">
      <c r="A195" t="n">
        <v>194</v>
      </c>
      <c r="B195" t="inlineStr">
        <is>
          <t>17. Identity, Address &amp; Credit Verification (KYC / Underwriting)</t>
        </is>
      </c>
      <c r="C195" t="inlineStr">
        <is>
          <t>Unit tests for the five stories and the licence checks</t>
        </is>
      </c>
      <c r="D195" t="inlineStr">
        <is>
          <t>Completed</t>
        </is>
      </c>
      <c r="F195" t="inlineStr">
        <is>
          <t>backend/test/simulated/personas.test.js — 11 tests, real seed data through real code, no database.</t>
        </is>
      </c>
    </row>
    <row r="196">
      <c r="A196" t="n">
        <v>195</v>
      </c>
      <c r="B196" t="inlineStr">
        <is>
          <t>17. Identity, Address &amp; Credit Verification (KYC / Underwriting)</t>
        </is>
      </c>
      <c r="C196" t="inlineStr">
        <is>
          <t>Click-through of the five stories on real MongoDB after npm run reset</t>
        </is>
      </c>
      <c r="D196" t="inlineStr">
        <is>
          <t>Not Started</t>
        </is>
      </c>
      <c r="F196" t="inlineStr">
        <is>
          <t>Only unit tests and a mock API so far (Rohan and Meera previewed in the browser). [2026-10-24] Now seven stories: Anil Kapoor (reused identity) and Lakshmi Pillai (visa ends before the loan) were added.</t>
        </is>
      </c>
    </row>
    <row r="197">
      <c r="A197" t="n">
        <v>196</v>
      </c>
      <c r="B197" t="inlineStr">
        <is>
          <t>17. Identity, Address &amp; Credit Verification (KYC / Underwriting)</t>
        </is>
      </c>
      <c r="C197" t="inlineStr">
        <is>
          <t>Add the five identity / credit stories to DEMO_SCRIPT.md</t>
        </is>
      </c>
      <c r="D197" t="inlineStr">
        <is>
          <t>Completed</t>
        </is>
      </c>
      <c r="F197" t="inlineStr">
        <is>
          <t>Suggested order is in docs/SIMULATED_VERIFICATION.md. [2026-10-24] Added as "Act 2" in docs/DEMO_SCRIPT.md (five stories, exception walk-through, jury Q&amp;A).</t>
        </is>
      </c>
    </row>
    <row r="198">
      <c r="A198" t="n">
        <v>197</v>
      </c>
      <c r="B198" t="inlineStr">
        <is>
          <t>17. Identity, Address &amp; Credit Verification (KYC / Underwriting)</t>
        </is>
      </c>
      <c r="C198" t="inlineStr">
        <is>
          <t>Replace the simulated bureau with a real provider adapter</t>
        </is>
      </c>
      <c r="D198" t="inlineStr">
        <is>
          <t>Not Started</t>
        </is>
      </c>
      <c r="F198" t="inlineStr">
        <is>
          <t>NEEDS FUNDING / CONTRACT — credit bureau or reseller, SSN match / identity network, sanctions list. Needs the borrower consent flow and FCRA permissible purpose.</t>
        </is>
      </c>
    </row>
    <row r="199">
      <c r="A199" t="n">
        <v>198</v>
      </c>
      <c r="B199" t="inlineStr">
        <is>
          <t>17. Identity, Address &amp; Credit Verification (KYC / Underwriting)</t>
        </is>
      </c>
      <c r="C199" t="inlineStr">
        <is>
          <t>Citizenship / residency status field and the product rules that use it</t>
        </is>
      </c>
      <c r="D199" t="inlineStr">
        <is>
          <t>Completed</t>
        </is>
      </c>
      <c r="F199" t="inlineStr">
        <is>
          <t>US lenders rarely verify citizenship; they verify identity (CIP) and apply product policy to residency. Needs a policy decision first. [2026-10-24] Built: applicants declare U.S. citizen / permanent resident / visa holder (+ visa expiry); rule in services/residency.js — a visa must outlast the loan term, otherwise an underwriter may waive it with a condition. Citizenship is deliberately NOT verified against any government source. Policy text: data/policies/residency-and-identity-policy.md.</t>
        </is>
      </c>
    </row>
    <row r="200">
      <c r="A200" t="n">
        <v>199</v>
      </c>
      <c r="B200" t="inlineStr">
        <is>
          <t>17. Identity, Address &amp; Credit Verification (KYC / Underwriting)</t>
        </is>
      </c>
      <c r="C200" t="inlineStr">
        <is>
          <t>Store the SSN securely (encrypted or keyed hash) instead of last four digits only</t>
        </is>
      </c>
      <c r="D200" t="inlineStr">
        <is>
          <t>Not Started</t>
        </is>
      </c>
      <c r="F200" t="inlineStr">
        <is>
          <t>Required before any real bureau pull; also feeds duplicate detection. [2026-10-24] Now also needed to replace the last-4 + date-of-birth duplicate key.</t>
        </is>
      </c>
    </row>
    <row r="201">
      <c r="A201" t="n">
        <v>200</v>
      </c>
      <c r="B201" t="inlineStr">
        <is>
          <t>17. Identity, Address &amp; Credit Verification (KYC / Underwriting)</t>
        </is>
      </c>
      <c r="C201" t="inlineStr">
        <is>
          <t>Detect the same SSN used on more than one application</t>
        </is>
      </c>
      <c r="D201" t="inlineStr">
        <is>
          <t>Completed</t>
        </is>
      </c>
      <c r="F201" t="inlineStr">
        <is>
          <t>RAG plan edge case E01 (duplicate customers / fraud ring). [2026-10-24] Built as services/duplicateCheck.js. Key is SSN last-4 + date of birth (a proxy); only the LATER application is flagged; different name = identity reuse, same name = second open application. Never waivable. Replace the key with a keyed hash of the full SSN once it is stored (see the secure-SSN task).</t>
        </is>
      </c>
    </row>
    <row r="202">
      <c r="A202" t="n">
        <v>201</v>
      </c>
      <c r="B202" t="inlineStr">
        <is>
          <t>17. Identity, Address &amp; Credit Verification (KYC / Underwriting)</t>
        </is>
      </c>
      <c r="C202" t="inlineStr">
        <is>
          <t>Soft vs hard credit-pull disclosure wording in the consent step</t>
        </is>
      </c>
      <c r="D202" t="inlineStr">
        <is>
          <t>Not Started</t>
        </is>
      </c>
      <c r="F202" t="inlineStr">
        <is>
          <t>Current consent only says credit pull is authorised.</t>
        </is>
      </c>
    </row>
    <row r="203">
      <c r="A203" t="n">
        <v>202</v>
      </c>
      <c r="B203" t="inlineStr">
        <is>
          <t>17. Identity, Address &amp; Credit Verification (KYC / Underwriting)</t>
        </is>
      </c>
      <c r="C203" t="inlineStr">
        <is>
          <t>Residency status on the application form (U.S. citizen / permanent resident / visa holder + visa expiry date) with intake validation</t>
        </is>
      </c>
      <c r="D203" t="inlineStr">
        <is>
          <t>Completed</t>
        </is>
      </c>
      <c r="F203" t="inlineStr">
        <is>
          <t>NewApplicationScreen.js; validateResidency() in services/residency.js. An expired or missing visa date is rejected.</t>
        </is>
      </c>
    </row>
    <row r="204">
      <c r="A204" t="n">
        <v>203</v>
      </c>
      <c r="B204" t="inlineStr">
        <is>
          <t>17. Identity, Address &amp; Credit Verification (KYC / Underwriting)</t>
        </is>
      </c>
      <c r="C204" t="inlineStr">
        <is>
          <t>Residency decision parameter: a visa must outlast the loan term; shortfall is waivable by an underwriter with a condition</t>
        </is>
      </c>
      <c r="D204" t="inlineStr">
        <is>
          <t>Completed</t>
        </is>
      </c>
      <c r="F204" t="inlineStr">
        <is>
          <t>Shown on the Decision page; Lakshmi Pillai is the demo borrower. Missing residency data is pending, never met.</t>
        </is>
      </c>
    </row>
    <row r="205">
      <c r="A205" t="n">
        <v>204</v>
      </c>
      <c r="B205" t="inlineStr">
        <is>
          <t>17. Identity, Address &amp; Credit Verification (KYC / Underwriting)</t>
        </is>
      </c>
      <c r="C205" t="inlineStr">
        <is>
          <t>Duplicate-identity decision parameter and "Matching earlier applications" panel on the Decision page</t>
        </is>
      </c>
      <c r="D205" t="inlineStr">
        <is>
          <t>Completed</t>
        </is>
      </c>
      <c r="F205" t="inlineStr">
        <is>
          <t>Staff see who the earlier application belongs to and can open it. Seeded borrowers are created in order so Anil Kapoor (later) is flagged and Priya Nair (original) is not.</t>
        </is>
      </c>
    </row>
    <row r="206">
      <c r="A206" t="n">
        <v>205</v>
      </c>
      <c r="B206" t="inlineStr">
        <is>
          <t>17. Identity, Address &amp; Credit Verification (KYC / Underwriting)</t>
        </is>
      </c>
      <c r="C206" t="inlineStr">
        <is>
          <t>Policy: one open application per applicant, and how reused identities are handled</t>
        </is>
      </c>
      <c r="D206" t="inlineStr">
        <is>
          <t>Completed</t>
        </is>
      </c>
      <c r="F206" t="inlineStr">
        <is>
          <t>data/policies/residency-and-identity-policy.md (also covers who may apply, visa holders, how identity is verified).</t>
        </is>
      </c>
    </row>
    <row r="207">
      <c r="A207" t="n">
        <v>206</v>
      </c>
      <c r="B207" t="inlineStr">
        <is>
          <t>17. Identity, Address &amp; Credit Verification (KYC / Underwriting)</t>
        </is>
      </c>
      <c r="C207" t="inlineStr">
        <is>
          <t>Two more jury borrowers with pre-loaded documents: Anil Kapoor (reused identity) and Lakshmi Pillai (visa holder)</t>
        </is>
      </c>
      <c r="D207" t="inlineStr">
        <is>
          <t>Completed</t>
        </is>
      </c>
      <c r="F207" t="inlineStr">
        <is>
          <t>Seven stories in total — see docs/SIMULATED_VERIFICATION.md and DEMO_SCRIPT.md Act 2.</t>
        </is>
      </c>
    </row>
    <row r="208">
      <c r="A208" t="n">
        <v>207</v>
      </c>
      <c r="B208" t="inlineStr">
        <is>
          <t>17. Identity, Address &amp; Credit Verification (KYC / Underwriting)</t>
        </is>
      </c>
      <c r="C208" t="inlineStr">
        <is>
          <t>Unit tests for duplicate matching, residency and the two new stories</t>
        </is>
      </c>
      <c r="D208" t="inlineStr">
        <is>
          <t>Completed</t>
        </is>
      </c>
      <c r="F208" t="inlineStr">
        <is>
          <t>backend/test/simulated/residencyAndDuplicates.test.js — 15 tests. Full backend suite: 86 tests, 85 pass (the 1 failure, test/rag/serviceClients.test.js, predates this work).</t>
        </is>
      </c>
    </row>
    <row r="209">
      <c r="A209" t="n">
        <v>208</v>
      </c>
      <c r="B209" t="inlineStr">
        <is>
          <t>17. Identity, Address &amp; Credit Verification (KYC / Underwriting)</t>
        </is>
      </c>
      <c r="C209" t="inlineStr">
        <is>
          <t>Ingest the new residency-and-identity policy file into the policy store so the assistant can quote it</t>
        </is>
      </c>
      <c r="D209" t="inlineStr">
        <is>
          <t>Not Started</t>
        </is>
      </c>
      <c r="F209" t="inlineStr">
        <is>
          <t>npm run ingest (Mongo) or /admin/ingest-chroma (Chroma). The file is in the repo but not yet indexed anywhere.</t>
        </is>
      </c>
    </row>
  </sheetData>
  <autoFilter ref="A1:F209"/>
  <conditionalFormatting sqref="D2:D209">
    <cfRule type="expression" priority="1" dxfId="0">
      <formula>$D2="Completed"</formula>
    </cfRule>
    <cfRule type="expression" priority="2" dxfId="1">
      <formula>$D2="In Progress"</formula>
    </cfRule>
    <cfRule type="expression" priority="3" dxfId="2">
      <formula>$D2="Not Started"</formula>
    </cfRule>
  </conditionalFormatting>
  <dataValidations count="1">
    <dataValidation sqref="D2:D209" showDropDown="0" showInputMessage="0" showErrorMessage="0" allowBlank="1" type="list">
      <formula1>"Completed,In Progress,Not Started"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
  <sheetViews>
    <sheetView showGridLines="0" workbookViewId="0">
      <pane ySplit="1" topLeftCell="A2" activePane="bottomLeft" state="frozen"/>
      <selection pane="bottomLeft" activeCell="A1" sqref="A1"/>
    </sheetView>
  </sheetViews>
  <sheetFormatPr baseColWidth="8" defaultRowHeight="15"/>
  <cols>
    <col width="5" customWidth="1" min="1" max="1"/>
    <col width="18" customWidth="1" min="2" max="2"/>
    <col width="34" customWidth="1" min="3" max="3"/>
    <col width="40" customWidth="1" min="4" max="4"/>
    <col width="38" customWidth="1" min="5" max="5"/>
    <col width="46" customWidth="1" min="6" max="6"/>
    <col width="20" customWidth="1" min="7" max="7"/>
  </cols>
  <sheetData>
    <row r="1" ht="22" customHeight="1">
      <c r="A1" s="11" t="inlineStr">
        <is>
          <t>#</t>
        </is>
      </c>
      <c r="B1" s="12" t="inlineStr">
        <is>
          <t>Feature Area</t>
        </is>
      </c>
      <c r="C1" s="12" t="inlineStr">
        <is>
          <t>Test Scenario</t>
        </is>
      </c>
      <c r="D1" s="12" t="inlineStr">
        <is>
          <t>Steps to Test</t>
        </is>
      </c>
      <c r="E1" s="12" t="inlineStr">
        <is>
          <t>Expected Result</t>
        </is>
      </c>
      <c r="F1" s="12" t="inlineStr">
        <is>
          <t>Why This Matters (Use Case &amp; Impact)</t>
        </is>
      </c>
      <c r="G1" s="12" t="inlineStr">
        <is>
          <t>Verified So Far</t>
        </is>
      </c>
    </row>
    <row r="2" ht="90" customHeight="1">
      <c r="A2" s="13" t="n">
        <v>1</v>
      </c>
      <c r="B2" s="14" t="inlineStr">
        <is>
          <t>Affordability check</t>
        </is>
      </c>
      <c r="C2" s="15" t="inlineStr">
        <is>
          <t>Auto/personal loan requested amount within the estimated affordable range</t>
        </is>
      </c>
      <c r="D2" s="15" t="inlineStr">
        <is>
          <t>Upload a pay stub where documented income comfortably supports the requested amount.</t>
        </is>
      </c>
      <c r="E2" s="15" t="inlineStr">
        <is>
          <t>'Requested amount vs. affordability' check shows status Match — no flag.</t>
        </is>
      </c>
      <c r="F2" s="15" t="inlineStr">
        <is>
          <t>Confirms the check doesn't cry wolf on ordinary, reasonable requests — false positives would erode officer trust in every other flag the system raises.</t>
        </is>
      </c>
      <c r="G2" s="18" t="inlineStr">
        <is>
          <t>Yes — executed directly against verification.js with real inputs (see chat transcript)</t>
        </is>
      </c>
    </row>
    <row r="3" ht="90" customHeight="1">
      <c r="A3" s="13" t="n">
        <v>2</v>
      </c>
      <c r="B3" s="14" t="inlineStr">
        <is>
          <t>Affordability check</t>
        </is>
      </c>
      <c r="C3" s="15" t="inlineStr">
        <is>
          <t>Auto/personal loan requested amount exceeds the estimate</t>
        </is>
      </c>
      <c r="D3" s="15" t="inlineStr">
        <is>
          <t>Upload a pay stub where documented income is well below what the requested amount implies.</t>
        </is>
      </c>
      <c r="E3" s="15" t="inlineStr">
        <is>
          <t>Status Warning (not a hard decline), names the multiple over (e.g. '3.1x'), suggests checking for a data-entry error, and the application still requires officer sign-off.</t>
        </is>
      </c>
      <c r="F3" s="15" t="inlineStr">
        <is>
          <t>This is the gap that existed before today's session: nothing previously checked requested amount against income at all. Officers can now triage oversized asks instead of discovering them deep in manual underwriting.</t>
        </is>
      </c>
      <c r="G3" s="18" t="inlineStr">
        <is>
          <t>Yes — executed directly against verification.js with real inputs (see chat transcript)</t>
        </is>
      </c>
    </row>
    <row r="4" ht="90" customHeight="1">
      <c r="A4" s="13" t="n">
        <v>3</v>
      </c>
      <c r="B4" s="14" t="inlineStr">
        <is>
          <t>Affordability check</t>
        </is>
      </c>
      <c r="C4" s="15" t="inlineStr">
        <is>
          <t>Combined income mismatch + oversized request (worse-case)</t>
        </is>
      </c>
      <c r="D4" s="15" t="inlineStr">
        <is>
          <t>Pay stub shows both a different income than stated AND a requested amount unaffordable even at the (lower) documented income.</t>
        </is>
      </c>
      <c r="E4" s="15" t="inlineStr">
        <is>
          <t>Both checks fire independently; overall status is 'fail' (hard mismatch outranks a warning) — the more serious problem wins the overall severity.</t>
        </is>
      </c>
      <c r="F4" s="15" t="inlineStr">
        <is>
          <t>Confirms severity ranking is sane: a data conflict (documents disagree) is treated as more serious than a disproportionate-but-consistent request, so officers aren't misled about which case is more urgent.</t>
        </is>
      </c>
      <c r="G4" s="18" t="inlineStr">
        <is>
          <t>Yes — executed directly against verification.js with real inputs (see chat transcript)</t>
        </is>
      </c>
    </row>
    <row r="5" ht="90" customHeight="1">
      <c r="A5" s="13" t="n">
        <v>4</v>
      </c>
      <c r="B5" s="14" t="inlineStr">
        <is>
          <t>Affordability check</t>
        </is>
      </c>
      <c r="C5" s="15" t="inlineStr">
        <is>
          <t>Extreme, isolated oversized request ($500/mo income, $5,000,000 requested)</t>
        </is>
      </c>
      <c r="D5" s="15" t="inlineStr">
        <is>
          <t>Income confirmed correct and consistent; only the requested amount is absurd.</t>
        </is>
      </c>
      <c r="E5" s="15" t="inlineStr">
        <is>
          <t>Overall status is 'needs-review', not 'fail' — distinguishing 'plausible but oversized' from 'documents disagree'. Explanation states the request is ~617x the affordable estimate.</t>
        </is>
      </c>
      <c r="F5" s="15" t="inlineStr">
        <is>
          <t>This is the exact scenario raised in planning: proves the system never auto-declines, always routes to a human, and gives the officer enough context (the multiple) to spot a likely typo instantly instead of investigating from scratch.</t>
        </is>
      </c>
      <c r="G5" s="18" t="inlineStr">
        <is>
          <t>Yes — executed directly against verification.js with real inputs (see chat transcript)</t>
        </is>
      </c>
    </row>
    <row r="6" ht="90" customHeight="1">
      <c r="A6" s="13" t="n">
        <v>5</v>
      </c>
      <c r="B6" s="14" t="inlineStr">
        <is>
          <t>Affordability check</t>
        </is>
      </c>
      <c r="C6" s="15" t="inlineStr">
        <is>
          <t>Small-business flagship scenario (Whitfield &amp; Co. Bakery LLC)</t>
        </is>
      </c>
      <c r="D6" s="15" t="inlineStr">
        <is>
          <t>Run the seeded small-business application: tax return shows $275,400 revenue vs. $340,000 stated, business license shows a different legal name, and $110,000 is requested.</t>
        </is>
      </c>
      <c r="E6" s="15" t="inlineStr">
        <is>
          <t>Three independent flags appear together — revenue mismatch, business-name mismatch, and affordability (~1.3x over) — each with its own plain-English explanation.</t>
        </is>
      </c>
      <c r="F6" s="15" t="inlineStr">
        <is>
          <t>This is the demo's core evidence that the engine catches the real, evidence-backed pain points (entity-name mismatches, revenue verification) found in production loan-servicing research, not hypothetical ones.</t>
        </is>
      </c>
      <c r="G6" s="18" t="inlineStr">
        <is>
          <t>Yes — executed directly against verification.js with real inputs (see chat transcript)</t>
        </is>
      </c>
    </row>
    <row r="7" ht="90" customHeight="1">
      <c r="A7" s="13" t="n">
        <v>6</v>
      </c>
      <c r="B7" s="14" t="inlineStr">
        <is>
          <t>Data quality</t>
        </is>
      </c>
      <c r="C7" s="15" t="inlineStr">
        <is>
          <t>US currency formatting is locale-independent</t>
        </is>
      </c>
      <c r="D7" s="15" t="inlineStr">
        <is>
          <t>Run any check that renders a dollar amount on a machine/browser set to a non-US locale.</t>
        </is>
      </c>
      <c r="E7" s="15" t="inlineStr">
        <is>
          <t>Amounts render as '$340,000' (US grouping), never '$3,40,000' or similar.</t>
        </is>
      </c>
      <c r="F7" s="15" t="inlineStr">
        <is>
          <t>Caught during this session's own testing — would have looked broken live in front of judges depending on whoever's laptop or browser locale was in use, undermining credibility for reasons having nothing to do with the actual feature.</t>
        </is>
      </c>
      <c r="G7" s="18" t="inlineStr">
        <is>
          <t>Yes — executed directly against verification.js with real inputs (see chat transcript)</t>
        </is>
      </c>
    </row>
    <row r="8" ht="90" customHeight="1">
      <c r="A8" s="13" t="n">
        <v>7</v>
      </c>
      <c r="B8" s="14" t="inlineStr">
        <is>
          <t>Live exception flow</t>
        </is>
      </c>
      <c r="C8" s="15" t="inlineStr">
        <is>
          <t>A flagged document appears in the borrower's/officer's 'Action needed' list</t>
        </is>
      </c>
      <c r="D8" s="15" t="inlineStr">
        <is>
          <t>Upload a document that fails a check (e.g. Jordan Rivera's pay stub, planted income mismatch).</t>
        </is>
      </c>
      <c r="E8" s="15" t="inlineStr">
        <is>
          <t>Documents tab shows an 'Action needed' card naming the specific issue in plain language, with a Re-upload button.</t>
        </is>
      </c>
      <c r="F8" s="15" t="inlineStr">
        <is>
          <t>Replaces 'the flag exists somewhere in a Verification tab, hope someone notices' with one obvious, actionable place — this is the core of the 'live exception' pitch.</t>
        </is>
      </c>
      <c r="G8" s="18" t="inlineStr">
        <is>
          <t>Partial — core logic simulated in Node standalone; full Express+MongoDB route not executed (no local .env/API key in this environment)</t>
        </is>
      </c>
    </row>
    <row r="9" ht="90" customHeight="1">
      <c r="A9" s="13" t="n">
        <v>8</v>
      </c>
      <c r="B9" s="14" t="inlineStr">
        <is>
          <t>Live exception flow</t>
        </is>
      </c>
      <c r="C9" s="15" t="inlineStr">
        <is>
          <t>Targeted re-upload resolves exactly one exception</t>
        </is>
      </c>
      <c r="D9" s="15" t="inlineStr">
        <is>
          <t>Tap Re-upload on one flagged item and upload a corrected document.</t>
        </is>
      </c>
      <c r="E9" s="15" t="inlineStr">
        <is>
          <t>That exception disappears from the Action needed list; other open exceptions (if any) are untouched.</t>
        </is>
      </c>
      <c r="F9" s="15" t="inlineStr">
        <is>
          <t>This is the 'minutes not days' claim made concrete — no email, no waiting for an officer to notice, no restarting the application.</t>
        </is>
      </c>
      <c r="G9" s="18" t="inlineStr">
        <is>
          <t>Partial — core logic simulated in Node standalone; full Express+MongoDB route not executed (no local .env/API key in this environment)</t>
        </is>
      </c>
    </row>
    <row r="10" ht="90" customHeight="1">
      <c r="A10" s="13" t="n">
        <v>9</v>
      </c>
      <c r="B10" s="14" t="inlineStr">
        <is>
          <t>Live exception flow</t>
        </is>
      </c>
      <c r="C10" s="15" t="inlineStr">
        <is>
          <t>Wrong file type caught immediately during a targeted fix</t>
        </is>
      </c>
      <c r="D10" s="15" t="inlineStr">
        <is>
          <t>While fixing a specific required item (e.g. Driver's License), upload an unrelated document type (e.g. a bank statement).</t>
        </is>
      </c>
      <c r="E10" s="15" t="inlineStr">
        <is>
          <t>A 'Document type' mismatch appears immediately, naming both the expected and actual type — not a silent or confusing failure.</t>
        </is>
      </c>
      <c r="F10" s="15" t="inlineStr">
        <is>
          <t>Prevents a second round of 'document ping-pong' from being reintroduced by the fix mechanism itself — the applicant knows right away, not after another review cycle.</t>
        </is>
      </c>
      <c r="G10" s="18" t="inlineStr">
        <is>
          <t>Yes — executed directly against verification.js with real inputs (see chat transcript)</t>
        </is>
      </c>
    </row>
    <row r="11" ht="90" customHeight="1">
      <c r="A11" s="13" t="n">
        <v>10</v>
      </c>
      <c r="B11" s="14" t="inlineStr">
        <is>
          <t>Live exception flow</t>
        </is>
      </c>
      <c r="C11" s="15" t="inlineStr">
        <is>
          <t>A wrong-type attempt doesn't linger as an orphaned exception</t>
        </is>
      </c>
      <c r="D11" s="15" t="inlineStr">
        <is>
          <t>Immediately follow the previous scenario with the correct document type for that same slot.</t>
        </is>
      </c>
      <c r="E11" s="15" t="inlineStr">
        <is>
          <t>The earlier wrong-type attempt is superseded (marked historical), not left behind as a second, permanent exception with no way to resolve it.</t>
        </is>
      </c>
      <c r="F11" s="15" t="inlineStr">
        <is>
          <t>This was an actual bug found and fixed during this session's own testing before shipping — without the fix, a single wrong upload would have permanently cluttered the exception list with no way to clear it.</t>
        </is>
      </c>
      <c r="G11" s="18" t="inlineStr">
        <is>
          <t>Yes — executed directly against verification.js with real inputs (see chat transcript)</t>
        </is>
      </c>
    </row>
    <row r="12" ht="90" customHeight="1">
      <c r="A12" s="13" t="n">
        <v>11</v>
      </c>
      <c r="B12" s="14" t="inlineStr">
        <is>
          <t>Live exception flow</t>
        </is>
      </c>
      <c r="C12" s="15" t="inlineStr">
        <is>
          <t>Application status self-heals once every exception clears</t>
        </is>
      </c>
      <c r="D12" s="15" t="inlineStr">
        <is>
          <t>Resolve the last open exception on an application that was in 'Needs Review'.</t>
        </is>
      </c>
      <c r="E12" s="15" t="inlineStr">
        <is>
          <t>Application status automatically returns to 'Submitted' — no officer action required to remove a flag that no longer applies.</t>
        </is>
      </c>
      <c r="F12" s="15" t="inlineStr">
        <is>
          <t>Closes the loop end-to-end: today, even after a borrower fixes something, an officer typically has to notice and manually clear the flag. This makes the fix instantly visible everywhere the status is shown.</t>
        </is>
      </c>
      <c r="G12" s="18" t="inlineStr">
        <is>
          <t>Not yet — implemented in code, needs a live click-through once real MongoDB/Claude credentials exist</t>
        </is>
      </c>
    </row>
    <row r="13" ht="90" customHeight="1">
      <c r="A13" s="13" t="n">
        <v>12</v>
      </c>
      <c r="B13" s="14" t="inlineStr">
        <is>
          <t>Live exception flow</t>
        </is>
      </c>
      <c r="C13" s="15" t="inlineStr">
        <is>
          <t>Superseded documents are preserved for audit but hidden from the active view</t>
        </is>
      </c>
      <c r="D13" s="15" t="inlineStr">
        <is>
          <t>After a targeted fix, open 'Show document history' on the Documents tab.</t>
        </is>
      </c>
      <c r="E13" s="15" t="inlineStr">
        <is>
          <t>The old (fixed) document appears there, clearly marked 'Superseded', separate from the current, active document list.</t>
        </is>
      </c>
      <c r="F13" s="15" t="inlineStr">
        <is>
          <t>Keeps the 'complete audit trail' claim in the original pitch true even as documents get corrected — nothing is silently deleted.</t>
        </is>
      </c>
      <c r="G13" s="18" t="inlineStr">
        <is>
          <t>Not yet — implemented in code, needs a live click-through once real MongoDB/Claude credentials exist</t>
        </is>
      </c>
    </row>
    <row r="14" ht="90" customHeight="1">
      <c r="A14" s="13" t="n">
        <v>13</v>
      </c>
      <c r="B14" s="14" t="inlineStr">
        <is>
          <t>Live exception flow</t>
        </is>
      </c>
      <c r="C14" s="15" t="inlineStr">
        <is>
          <t>RAG assistant never re-surfaces a resolved issue</t>
        </is>
      </c>
      <c r="D14" s="15" t="inlineStr">
        <is>
          <t>After resolving all exceptions, ask the assistant (as officer) 'why is this application flagged?'</t>
        </is>
      </c>
      <c r="E14" s="15" t="inlineStr">
        <is>
          <t>The assistant does not reference the earlier, now-fixed issue — its context reflects only current, unresolved state.</t>
        </is>
      </c>
      <c r="F14" s="15" t="inlineStr">
        <is>
          <t>Caught during this session's review: the assistant was reading ALL documents including superseded ones, so a fixed issue could be wrongly explained as still open — directly undermines trust in the assistant if a judge or officer notices it.</t>
        </is>
      </c>
      <c r="G14" s="18" t="inlineStr">
        <is>
          <t>Not yet — implemented in code, needs a live click-through once real MongoDB/Claude credentials exist</t>
        </is>
      </c>
    </row>
    <row r="15" ht="90" customHeight="1">
      <c r="A15" s="13" t="n">
        <v>14</v>
      </c>
      <c r="B15" s="14" t="inlineStr">
        <is>
          <t>Security</t>
        </is>
      </c>
      <c r="C15" s="15" t="inlineStr">
        <is>
          <t>A borrower cannot upload to another applicant's application</t>
        </is>
      </c>
      <c r="D15" s="15" t="inlineStr">
        <is>
          <t>As an authenticated borrower, attempt to POST a document to an applicationId that isn't theirs.</t>
        </is>
      </c>
      <c r="E15" s="15" t="inlineStr">
        <is>
          <t>403 'Not your application'. An officer performing the same action is unaffected.</t>
        </is>
      </c>
      <c r="F15" s="15" t="inlineStr">
        <is>
          <t>Caught during this session's own review: the upload endpoint had no ownership check at all before today, unlike the equivalent read endpoint — a real gap for a feature whose whole point is borrower self-service.</t>
        </is>
      </c>
      <c r="G15" s="18" t="inlineStr">
        <is>
          <t>Not yet — implemented in code, needs a live click-through once real MongoDB/Claude credentials exist</t>
        </is>
      </c>
    </row>
    <row r="16" ht="90" customHeight="1">
      <c r="A16" s="13" t="n">
        <v>15</v>
      </c>
      <c r="B16" s="14" t="inlineStr">
        <is>
          <t>Live exception flow</t>
        </is>
      </c>
      <c r="C16" s="15" t="inlineStr">
        <is>
          <t>Officer and borrower see the identical live exception list</t>
        </is>
      </c>
      <c r="D16" s="15" t="inlineStr">
        <is>
          <t>Compare the Documents tab for the same application, once logged in as officer and once as the borrower.</t>
        </is>
      </c>
      <c r="E16" s="15" t="inlineStr">
        <is>
          <t>Both show the exact same 'Action needed' items — same wording, same count.</t>
        </is>
      </c>
      <c r="F16" s="15" t="inlineStr">
        <is>
          <t>Directly closes the 'black box' gap found in pain-point research, where today the officer's dashboard and the borrower's visibility can drift apart with no shared source of truth.</t>
        </is>
      </c>
      <c r="G16" s="18" t="inlineStr">
        <is>
          <t>Not yet — implemented in code, needs a live click-through once real MongoDB/Claude credentials exist</t>
        </is>
      </c>
    </row>
    <row r="17" ht="90" customHeight="1">
      <c r="A17" s="13" t="n">
        <v>16</v>
      </c>
      <c r="B17" s="14" t="inlineStr">
        <is>
          <t>Self-registration</t>
        </is>
      </c>
      <c r="C17" s="15" t="inlineStr">
        <is>
          <t>Create a new test account (borrower and officer)</t>
        </is>
      </c>
      <c r="D17" s="15" t="inlineStr">
        <is>
          <t>From the login screen, tap 'Create a test account', fill in name/email/password, pick a role, submit.</t>
        </is>
      </c>
      <c r="E17" s="15" t="inlineStr">
        <is>
          <t>Account is created and you're auto-logged-in (no separate login step needed) as that role.</t>
        </is>
      </c>
      <c r="F17" s="15" t="inlineStr">
        <is>
          <t>Lets teammates create their own test users on demand instead of being limited to the 3 seeded logins — directly requested so colleagues could try the app themselves.</t>
        </is>
      </c>
      <c r="G17" s="18" t="inlineStr">
        <is>
          <t>Not yet — implemented in code, needs a live click-through once real MongoDB/Claude credentials exist</t>
        </is>
      </c>
    </row>
    <row r="18" ht="90" customHeight="1">
      <c r="A18" s="13" t="n">
        <v>17</v>
      </c>
      <c r="B18" s="14" t="inlineStr">
        <is>
          <t>Self-registration</t>
        </is>
      </c>
      <c r="C18" s="15" t="inlineStr">
        <is>
          <t>Duplicate email is rejected</t>
        </is>
      </c>
      <c r="D18" s="15" t="inlineStr">
        <is>
          <t>Try to register with an email that already exists (e.g. officer@loanlens.demo).</t>
        </is>
      </c>
      <c r="E18" s="15" t="inlineStr">
        <is>
          <t>409 error, clear message — no silent overwrite or duplicate account.</t>
        </is>
      </c>
      <c r="F18" s="15" t="inlineStr">
        <is>
          <t>Basic data integrity check now that account creation isn't limited to a controlled seed script.</t>
        </is>
      </c>
      <c r="G18" s="18" t="inlineStr">
        <is>
          <t>Not yet — implemented in code, needs a live click-through once real MongoDB/Claude credentials exist</t>
        </is>
      </c>
    </row>
    <row r="19" ht="90" customHeight="1">
      <c r="A19" s="13" t="n">
        <v>18</v>
      </c>
      <c r="B19" s="14" t="inlineStr">
        <is>
          <t>Apply for a loan</t>
        </is>
      </c>
      <c r="C19" s="15" t="inlineStr">
        <is>
          <t>Borrower applies for a new loan end-to-end</t>
        </is>
      </c>
      <c r="D19" s="15" t="inlineStr">
        <is>
          <t>Log in as a borrower (new or existing), tap 'New application', pick a product type, fill in the form, submit.</t>
        </is>
      </c>
      <c r="E19" s="15" t="inlineStr">
        <is>
          <t>A new Application is created with the correct requiredDocTypes for that product; you land directly on its Documents tab with the right items already listed as outstanding.</t>
        </is>
      </c>
      <c r="F19" s="15" t="inlineStr">
        <is>
          <t>This is the actual 'borrower dashboard' / real loan-application-site experience — previously every application was pre-seeded server-side with no way for a real user to create one themselves.</t>
        </is>
      </c>
      <c r="G19" s="18" t="inlineStr">
        <is>
          <t>Not yet — implemented in code, needs a live click-through once real MongoDB/Claude credentials exist</t>
        </is>
      </c>
    </row>
    <row r="20" ht="90" customHeight="1">
      <c r="A20" s="13" t="n">
        <v>19</v>
      </c>
      <c r="B20" s="14" t="inlineStr">
        <is>
          <t>Apply for a loan</t>
        </is>
      </c>
      <c r="C20" s="15" t="inlineStr">
        <is>
          <t>Officers don't see the 'New application' option</t>
        </is>
      </c>
      <c r="D20" s="15" t="inlineStr">
        <is>
          <t>Log in as officer@loanlens.demo and look at the Applications list top bar.</t>
        </is>
      </c>
      <c r="E20" s="15" t="inlineStr">
        <is>
          <t>No 'New application' button — only borrowers see it.</t>
        </is>
      </c>
      <c r="F20" s="15" t="inlineStr">
        <is>
          <t>Officers review/manage applications; they don't file one for themselves in this model (distinct from officers being able to upload documents on an applicant's behalf, which is a separate, intentional allowance).</t>
        </is>
      </c>
      <c r="G20" s="18" t="inlineStr">
        <is>
          <t>Not yet — implemented in code, needs a live click-through once real MongoDB/Claude credentials exist</t>
        </is>
      </c>
    </row>
    <row r="21" ht="90" customHeight="1">
      <c r="A21" s="13" t="n">
        <v>20</v>
      </c>
      <c r="B21" s="14" t="inlineStr">
        <is>
          <t>Apply for a loan</t>
        </is>
      </c>
      <c r="C21" s="15" t="inlineStr">
        <is>
          <t>Wizard step validation blocks incomplete steps</t>
        </is>
      </c>
      <c r="D21" s="15" t="inlineStr">
        <is>
          <t>On 'Tell Us About Yourself' or 'Tell Us More About Yourself', leave a required field blank and tap Continue.</t>
        </is>
      </c>
      <c r="E21" s="15" t="inlineStr">
        <is>
          <t>An inline error names what's missing; you stay on the same step — the wizard never lets you reach Disclosures &amp; Submit with incomplete data.</t>
        </is>
      </c>
      <c r="F21" s="15" t="inlineStr">
        <is>
          <t>Prevents a 400 from the server being the first time someone learns a field was missing, several steps later — catches it at the point of entry instead.</t>
        </is>
      </c>
      <c r="G21" s="18" t="inlineStr">
        <is>
          <t>Not yet — implemented in code, needs a live click-through once real MongoDB/Claude credentials exist</t>
        </is>
      </c>
    </row>
    <row r="22" ht="90" customHeight="1">
      <c r="A22" s="13" t="n">
        <v>21</v>
      </c>
      <c r="B22" s="14" t="inlineStr">
        <is>
          <t>Apply for a loan</t>
        </is>
      </c>
      <c r="C22" s="15" t="inlineStr">
        <is>
          <t>Under-18 date of birth is rejected</t>
        </is>
      </c>
      <c r="D22" s="15" t="inlineStr">
        <is>
          <t>Enter a date of birth less than 18 years before today and submit.</t>
        </is>
      </c>
      <c r="E22" s="15" t="inlineStr">
        <is>
          <t>400 error: 'Applicants must be 18 or older' — matches the eligibility text already published in every product's policy doc.</t>
        </is>
      </c>
      <c r="F22" s="15" t="inlineStr">
        <is>
          <t>Closes a real gap: every policy already claimed this requirement, but nothing enforced it since there was no DOB field before this session.</t>
        </is>
      </c>
      <c r="G22" s="18" t="inlineStr">
        <is>
          <t>Not yet — implemented in code, needs a live click-through once real MongoDB/Claude credentials exist</t>
        </is>
      </c>
    </row>
    <row r="23" ht="90" customHeight="1">
      <c r="A23" s="13" t="n">
        <v>22</v>
      </c>
      <c r="B23" s="14" t="inlineStr">
        <is>
          <t>Apply for a loan</t>
        </is>
      </c>
      <c r="C23" s="15" t="inlineStr">
        <is>
          <t>Submission is blocked without consent</t>
        </is>
      </c>
      <c r="D23" s="15" t="inlineStr">
        <is>
          <t>Reach the final step without checking the disclosures/consent box.</t>
        </is>
      </c>
      <c r="E23" s="15" t="inlineStr">
        <is>
          <t>Submit button is disabled (client-side); a direct API call without consentAccepted also gets a 400 server-side.</t>
        </is>
      </c>
      <c r="F23" s="15" t="inlineStr">
        <is>
          <t>Matches the real 'Disclosures &amp; Submit' gate found in every DAO intake flow Rovo surfaced — belt-and-suspenders (UI + server) so it can't be bypassed by skipping the UI.</t>
        </is>
      </c>
      <c r="G23" s="18" t="inlineStr">
        <is>
          <t>Not yet — implemented in code, needs a live click-through once real MongoDB/Claude credentials exist</t>
        </is>
      </c>
    </row>
    <row r="24" ht="90" customHeight="1">
      <c r="A24" s="13" t="n">
        <v>23</v>
      </c>
      <c r="B24" s="14" t="inlineStr">
        <is>
          <t>MOCK_AI bypass</t>
        </is>
      </c>
      <c r="C24" s="15" t="inlineStr">
        <is>
          <t>Mock extraction reproduces the exact planted mismatch for a known seed filename</t>
        </is>
      </c>
      <c r="D24" s="15" t="inlineStr">
        <is>
          <t>Set MOCK_AI=true, upload jordan-rivera-pay-stub.png.</t>
        </is>
      </c>
      <c r="E24" s="15" t="inlineStr">
        <is>
          <t>Extraction returns income $4,200 (no real API call); verification flags the same $5,000 vs $4,200 mismatch as the real Claude call would.</t>
        </is>
      </c>
      <c r="F24" s="15" t="inlineStr">
        <is>
          <t>Confirms the bypass is faithful to real behavior, not just a stub that unblocks the UI — ran this exact case directly against verification.js and got the identical flagged result.</t>
        </is>
      </c>
      <c r="G24" s="18" t="inlineStr">
        <is>
          <t>Yes — executed directly against verification.js with real inputs (see chat transcript)</t>
        </is>
      </c>
    </row>
    <row r="25" ht="90" customHeight="1">
      <c r="A25" s="13" t="n">
        <v>24</v>
      </c>
      <c r="B25" s="14" t="inlineStr">
        <is>
          <t>MOCK_AI bypass</t>
        </is>
      </c>
      <c r="C25" s="15" t="inlineStr">
        <is>
          <t>Unrecognized filename in mock mode degrades gracefully</t>
        </is>
      </c>
      <c r="D25" s="15" t="inlineStr">
        <is>
          <t>With MOCK_AI=true, upload any file not in the known seed set.</t>
        </is>
      </c>
      <c r="E25" s="15" t="inlineStr">
        <is>
          <t>Returns docType 'unknown', confidence 0.3 — routes to human review, same as a real illegible document, instead of throwing.</t>
        </is>
      </c>
      <c r="F25" s="15" t="inlineStr">
        <is>
          <t>So testing with an arbitrary file doesn't crash the upload flow while mock mode is on.</t>
        </is>
      </c>
      <c r="G25" s="18" t="inlineStr">
        <is>
          <t>Yes — executed directly against verification.js with real inputs (see chat transcript)</t>
        </is>
      </c>
    </row>
    <row r="26" ht="90" customHeight="1">
      <c r="A26" s="13" t="n">
        <v>25</v>
      </c>
      <c r="B26" s="14" t="inlineStr">
        <is>
          <t>Document preview/delete</t>
        </is>
      </c>
      <c r="C26" s="15" t="inlineStr">
        <is>
          <t>Preview opens the actual uploaded file in a new tab</t>
        </is>
      </c>
      <c r="D26" s="15" t="inlineStr">
        <is>
          <t>Tap Preview on any uploaded document card.</t>
        </is>
      </c>
      <c r="E26" s="15" t="inlineStr">
        <is>
          <t>A new tab opens showing the real image/PDF that was uploaded, not a placeholder — usable to check you uploaded the right file.</t>
        </is>
      </c>
      <c r="F26" s="15" t="inlineStr">
        <is>
          <t>Directly answers 'how do I know what I actually uploaded' — previously there was no way to check at all once a file was processed.</t>
        </is>
      </c>
      <c r="G26" s="18" t="inlineStr">
        <is>
          <t>Not yet — implemented in code, needs a live click-through once real MongoDB/Claude credentials exist</t>
        </is>
      </c>
    </row>
    <row r="27" ht="90" customHeight="1">
      <c r="A27" s="13" t="n">
        <v>26</v>
      </c>
      <c r="B27" s="14" t="inlineStr">
        <is>
          <t>Document preview/delete</t>
        </is>
      </c>
      <c r="C27" s="15" t="inlineStr">
        <is>
          <t>Delete removes a document and the item goes back to missing</t>
        </is>
      </c>
      <c r="D27" s="15" t="inlineStr">
        <is>
          <t>Tap Delete on an uploaded document, confirm the dialog.</t>
        </is>
      </c>
      <c r="E27" s="15" t="inlineStr">
        <is>
          <t>The document disappears from Uploaded Documents; the corresponding Required Documents row goes back to Pending.</t>
        </is>
      </c>
      <c r="F27" s="15" t="inlineStr">
        <is>
          <t>A genuinely destructive, different action from a targeted re-upload (which supersedes and keeps history) — confirmation dialog matters here specifically.</t>
        </is>
      </c>
      <c r="G27" s="18" t="inlineStr">
        <is>
          <t>Not yet — implemented in code, needs a live click-through once real MongoDB/Claude credentials exist</t>
        </is>
      </c>
    </row>
    <row r="28" ht="90" customHeight="1">
      <c r="A28" s="13" t="n">
        <v>27</v>
      </c>
      <c r="B28" s="14" t="inlineStr">
        <is>
          <t>Document preview/delete</t>
        </is>
      </c>
      <c r="C28" s="15" t="inlineStr">
        <is>
          <t>Delete's confirmation dialog actually appears on web</t>
        </is>
      </c>
      <c r="D28" s="15" t="inlineStr">
        <is>
          <t>Tap Delete in a browser (not the native app).</t>
        </is>
      </c>
      <c r="E28" s="15" t="inlineStr">
        <is>
          <t>A confirm dialog appears (window.confirm), not silence.</t>
        </is>
      </c>
      <c r="F28" s="15" t="inlineStr">
        <is>
          <t>Caught before shipping: react-native-web's Alert.alert is a no-op on web — using it directly would have made Delete silently do nothing when clicked in a browser, with no error and no visible failure.</t>
        </is>
      </c>
      <c r="G28" s="18" t="inlineStr">
        <is>
          <t>Not yet — implemented in code, needs a live click-through once real MongoDB/Claude credentials exist</t>
        </is>
      </c>
    </row>
    <row r="29" ht="90" customHeight="1">
      <c r="A29" s="13" t="n">
        <v>28</v>
      </c>
      <c r="B29" s="14" t="inlineStr">
        <is>
          <t>Perfect application</t>
        </is>
      </c>
      <c r="C29" s="15" t="inlineStr">
        <is>
          <t>Priya Nair's application shows zero action-needed items out of the box</t>
        </is>
      </c>
      <c r="D29" s="15" t="inlineStr">
        <is>
          <t>Log in as officer or priya.nair@example.demo right after a fresh seed/reset — no manual upload needed.</t>
        </is>
      </c>
      <c r="E29" s="15" t="inlineStr">
        <is>
          <t>All 3 required documents show 'Received', Action Needed is empty, application status is 'Submitted' (not 'Needs Review').</t>
        </is>
      </c>
      <c r="F29" s="15" t="inlineStr">
        <is>
          <t>A reference 'everything's correct' example to compare against, without depending on the user manually finding and uploading the exact right 3 files themselves first.</t>
        </is>
      </c>
      <c r="G29" s="18" t="inlineStr">
        <is>
          <t>Not yet — implemented in code, needs a live click-through once real MongoDB/Claude credentials exist</t>
        </is>
      </c>
    </row>
    <row r="30" ht="90" customHeight="1">
      <c r="A30" s="13" t="n">
        <v>29</v>
      </c>
      <c r="B30" s="14" t="inlineStr">
        <is>
          <t>Verification checklist</t>
        </is>
      </c>
      <c r="C30" s="15" t="inlineStr">
        <is>
          <t>Documents tab lists every check, matches and flags</t>
        </is>
      </c>
      <c r="D30" s="15" t="inlineStr">
        <is>
          <t>Upload any document and look at its card on the Documents tab.</t>
        </is>
      </c>
      <c r="E30" s="15" t="inlineStr">
        <is>
          <t>A "Verification checks" block shows "N fields extracted · M checks run · X matched · Y flagged" and one row per check with expected vs found. An application-wide summary sits above the documents.</t>
        </is>
      </c>
      <c r="F30" s="15" t="inlineStr">
        <is>
          <t>The jury asked to see which parameters are verified, not only the problems.</t>
        </is>
      </c>
      <c r="G30" s="18" t="inlineStr">
        <is>
          <t>Yes — previewed in the browser with sample data; a real upload has not been clicked through</t>
        </is>
      </c>
    </row>
    <row r="31" ht="90" customHeight="1">
      <c r="A31" s="13" t="n">
        <v>30</v>
      </c>
      <c r="B31" s="14" t="inlineStr">
        <is>
          <t>Page URLs</t>
        </is>
      </c>
      <c r="C31" s="15" t="inlineStr">
        <is>
          <t>A reload keeps you on the same application page</t>
        </is>
      </c>
      <c r="D31" s="15" t="inlineStr">
        <is>
          <t>Open /applications/&lt;id&gt;/progress while logged in and reload the browser.</t>
        </is>
      </c>
      <c r="E31" s="15" t="inlineStr">
        <is>
          <t>You stay on the Progress page; the tab title reads "LoanLens AI · Application · Progress".</t>
        </is>
      </c>
      <c r="F31" s="15" t="inlineStr">
        <is>
          <t>Pages can be bookmarked and shared; the chat can open them.</t>
        </is>
      </c>
      <c r="G31" s="18" t="inlineStr">
        <is>
          <t>Yes — browser against a mock API</t>
        </is>
      </c>
    </row>
    <row r="32" ht="90" customHeight="1">
      <c r="A32" s="13" t="n">
        <v>31</v>
      </c>
      <c r="B32" s="14" t="inlineStr">
        <is>
          <t>Chat navigation</t>
        </is>
      </c>
      <c r="C32" s="15" t="inlineStr">
        <is>
          <t>"What documents have I uploaded?" opens the Documents page</t>
        </is>
      </c>
      <c r="D32" s="15" t="inlineStr">
        <is>
          <t>Open the chat and ask the question (or click the sample question).</t>
        </is>
      </c>
      <c r="E32" s="15" t="inlineStr">
        <is>
          <t>The answer lists the uploaded documents and any still needed, and the Documents page opens with an "Opened Documents" link.</t>
        </is>
      </c>
      <c r="F32" s="15" t="inlineStr">
        <is>
          <t>Chat becomes a way to navigate, and the answer comes from real data, not the AI.</t>
        </is>
      </c>
      <c r="G32" s="18" t="inlineStr">
        <is>
          <t>Yes — browser against a mock API</t>
        </is>
      </c>
    </row>
    <row r="33" ht="90" customHeight="1">
      <c r="A33" s="13" t="n">
        <v>32</v>
      </c>
      <c r="B33" s="14" t="inlineStr">
        <is>
          <t>Chat navigation</t>
        </is>
      </c>
      <c r="C33" s="15" t="inlineStr">
        <is>
          <t>Asking from the Assistant page does not lose the conversation</t>
        </is>
      </c>
      <c r="D33" s="15" t="inlineStr">
        <is>
          <t>On the Assistant page ask "What is the progress of my application?".</t>
        </is>
      </c>
      <c r="E33" s="15" t="inlineStr">
        <is>
          <t>The answer stays on the page with an "Open Progress" link instead of navigating away.</t>
        </is>
      </c>
      <c r="F33" s="15" t="inlineStr">
        <is>
          <t>Navigating would unmount the chat and lose the conversation.</t>
        </is>
      </c>
      <c r="G33" s="18" t="inlineStr">
        <is>
          <t>Yes — browser against a mock API</t>
        </is>
      </c>
    </row>
    <row r="34" ht="90" customHeight="1">
      <c r="A34" s="13" t="n">
        <v>33</v>
      </c>
      <c r="B34" s="14" t="inlineStr">
        <is>
          <t>Decision workflow</t>
        </is>
      </c>
      <c r="C34" s="15" t="inlineStr">
        <is>
          <t>Loan officer cannot approve a file whose credit score is below the minimum</t>
        </is>
      </c>
      <c r="D34" s="15" t="inlineStr">
        <is>
          <t>Record a score of 598 on a personal-loan file (minimum 660) and try to approve.</t>
        </is>
      </c>
      <c r="E34" s="15" t="inlineStr">
        <is>
          <t>Approve is disabled and the API returns 422 "Refer it to the underwriter for an exception". Referring is offered.</t>
        </is>
      </c>
      <c r="F34" s="15" t="inlineStr">
        <is>
          <t>The core of the exception process: an officer cannot approve past a parameter.</t>
        </is>
      </c>
      <c r="G34" s="18" t="inlineStr">
        <is>
          <t>Yes — unit tests and mock API; not on real MongoDB</t>
        </is>
      </c>
    </row>
    <row r="35" ht="90" customHeight="1">
      <c r="A35" s="13" t="n">
        <v>34</v>
      </c>
      <c r="B35" s="14" t="inlineStr">
        <is>
          <t>Decision workflow</t>
        </is>
      </c>
      <c r="C35" s="15" t="inlineStr">
        <is>
          <t>An exception needs a justification, compensating factors and every unmet parameter named</t>
        </is>
      </c>
      <c r="D35" s="15" t="inlineStr">
        <is>
          <t>As officer refer with a 2-character note; as underwriter approve without compensating factors.</t>
        </is>
      </c>
      <c r="E35" s="15" t="inlineStr">
        <is>
          <t>Both are refused with a specific message; with proper text the referral and the exception approval succeed.</t>
        </is>
      </c>
      <c r="F35" s="15" t="inlineStr">
        <is>
          <t>Stops "ok" from being a reason for waiving a bank rule.</t>
        </is>
      </c>
      <c r="G35" s="18" t="inlineStr">
        <is>
          <t>Yes — unit tests</t>
        </is>
      </c>
    </row>
    <row r="36" ht="90" customHeight="1">
      <c r="A36" s="13" t="n">
        <v>35</v>
      </c>
      <c r="B36" s="14" t="inlineStr">
        <is>
          <t>Decision workflow</t>
        </is>
      </c>
      <c r="C36" s="15" t="inlineStr">
        <is>
          <t>A non-waivable mismatch can never be referred or waived</t>
        </is>
      </c>
      <c r="D36" s="15" t="inlineStr">
        <is>
          <t>Use a file with an SSN or name mismatch and a low credit score; try to refer, then (as underwriter) waive "identity".</t>
        </is>
      </c>
      <c r="E36" s="15" t="inlineStr">
        <is>
          <t>Referral and waiver are refused: the borrower must correct the mismatch.</t>
        </is>
      </c>
      <c r="F36" s="15" t="inlineStr">
        <is>
          <t>An exception is for a short borrower, not for documents that disagree about who the borrower is.</t>
        </is>
      </c>
      <c r="G36" s="18" t="inlineStr">
        <is>
          <t>Yes — unit tests</t>
        </is>
      </c>
    </row>
    <row r="37" ht="90" customHeight="1">
      <c r="A37" s="13" t="n">
        <v>36</v>
      </c>
      <c r="B37" s="14" t="inlineStr">
        <is>
          <t>Decision workflow</t>
        </is>
      </c>
      <c r="C37" s="15" t="inlineStr">
        <is>
          <t>Credit score cannot be changed after referral by the officer</t>
        </is>
      </c>
      <c r="D37" s="15" t="inlineStr">
        <is>
          <t>Refer a file, then as officer try to change the score.</t>
        </is>
      </c>
      <c r="E37" s="15" t="inlineStr">
        <is>
          <t>409; only the underwriter can change it while the file is referred.</t>
        </is>
      </c>
      <c r="F37" s="15" t="inlineStr">
        <is>
          <t>The officer must not alter what the underwriter is judging.</t>
        </is>
      </c>
      <c r="G37" s="18" t="inlineStr">
        <is>
          <t>Yes — unit tests and mock API</t>
        </is>
      </c>
    </row>
    <row r="38" ht="90" customHeight="1">
      <c r="A38" s="13" t="n">
        <v>37</v>
      </c>
      <c r="B38" s="14" t="inlineStr">
        <is>
          <t>Decision workflow</t>
        </is>
      </c>
      <c r="C38" s="15" t="inlineStr">
        <is>
          <t>Borrower never sees the credit score, audit trail or exception rationale</t>
        </is>
      </c>
      <c r="D38" s="15" t="inlineStr">
        <is>
          <t>Approve a file as an exception, then fetch it as the borrower.</t>
        </is>
      </c>
      <c r="E38" s="15" t="inlineStr">
        <is>
          <t>Only the outcome and the conditions are returned; no score, history, waived parameters or relationship note.</t>
        </is>
      </c>
      <c r="F38" s="15" t="inlineStr">
        <is>
          <t>Internal rationale and a borrower's credit data must stay with bank staff.</t>
        </is>
      </c>
      <c r="G38" s="18" t="inlineStr">
        <is>
          <t>Yes — unit tests on the real functions and mock API</t>
        </is>
      </c>
    </row>
    <row r="39" ht="90" customHeight="1">
      <c r="A39" s="13" t="n">
        <v>38</v>
      </c>
      <c r="B39" s="14" t="inlineStr">
        <is>
          <t>Decision workflow</t>
        </is>
      </c>
      <c r="C39" s="15" t="inlineStr">
        <is>
          <t>Documents are locked while a file is referred or decided</t>
        </is>
      </c>
      <c r="D39" s="15" t="inlineStr">
        <is>
          <t>Refer a file, then as the borrower try to upload or delete a document.</t>
        </is>
      </c>
      <c r="E39" s="15" t="inlineStr">
        <is>
          <t>409 with the reason; the underwriter can still preview files but not change them.</t>
        </is>
      </c>
      <c r="F39" s="15" t="inlineStr">
        <is>
          <t>The documents are the record the decision rests on.</t>
        </is>
      </c>
      <c r="G39" s="18" t="inlineStr">
        <is>
          <t>Not yet — implemented in code; needs a live test on real MongoDB</t>
        </is>
      </c>
    </row>
    <row r="40" ht="90" customHeight="1">
      <c r="A40" s="13" t="n">
        <v>39</v>
      </c>
      <c r="B40" s="14" t="inlineStr">
        <is>
          <t>Decision workflow</t>
        </is>
      </c>
      <c r="C40" s="15" t="inlineStr">
        <is>
          <t>Underwriter login works and cannot be self-registered</t>
        </is>
      </c>
      <c r="D40" s="15" t="inlineStr">
        <is>
          <t>Run npm run reset, sign in as underwriter@loanlens.demo, then try to register with role underwriter.</t>
        </is>
      </c>
      <c r="E40" s="15" t="inlineStr">
        <is>
          <t>Login succeeds with the Underwriter portal heading; registration with that role returns 400.</t>
        </is>
      </c>
      <c r="F40" s="15" t="inlineStr">
        <is>
          <t>An approval authority must not be creatable by anyone.</t>
        </is>
      </c>
      <c r="G40" s="18" t="inlineStr">
        <is>
          <t>Not yet — needs a live test on real MongoDB</t>
        </is>
      </c>
    </row>
    <row r="41" ht="90" customHeight="1">
      <c r="A41" s="13" t="n">
        <v>40</v>
      </c>
      <c r="B41" s="14" t="inlineStr">
        <is>
          <t>Identity and credit</t>
        </is>
      </c>
      <c r="C41" s="15" t="inlineStr">
        <is>
          <t>Clean borrower (Priya Nair) passes everything</t>
        </is>
      </c>
      <c r="D41" s="15" t="inlineStr">
        <is>
          <t>Log in as the loan officer, open Priya Nair &gt; Decision, run the identity and credit checks.</t>
        </is>
      </c>
      <c r="E41" s="15" t="inlineStr">
        <is>
          <t>Identity verified, sanctions clear, score 742; every parameter is Met and Approve is enabled.</t>
        </is>
      </c>
      <c r="F41" s="15" t="inlineStr">
        <is>
          <t>The happy path the other stories are compared against.</t>
        </is>
      </c>
      <c r="G41" s="18" t="inlineStr">
        <is>
          <t>Yes — unit test on the real seed data; not on real MongoDB</t>
        </is>
      </c>
    </row>
    <row r="42" ht="90" customHeight="1">
      <c r="A42" s="13" t="n">
        <v>41</v>
      </c>
      <c r="B42" s="14" t="inlineStr">
        <is>
          <t>Identity and credit</t>
        </is>
      </c>
      <c r="C42" s="15" t="inlineStr">
        <is>
          <t>Low credit score (Arjun Mehta) routes to the exception path</t>
        </is>
      </c>
      <c r="D42" s="15" t="inlineStr">
        <is>
          <t>Run the checks on Arjun Mehta.</t>
        </is>
      </c>
      <c r="E42" s="15" t="inlineStr">
        <is>
          <t>Score 598 vs 620: credit score is Not Met, Approve is disabled, Refer to underwriter is enabled.</t>
        </is>
      </c>
      <c r="F42" s="15" t="inlineStr">
        <is>
          <t>Shows the bank can lend outside its parameters, but only through a named senior role.</t>
        </is>
      </c>
      <c r="G42" s="18" t="inlineStr">
        <is>
          <t>Yes — unit test on the real seed data; not on real MongoDB</t>
        </is>
      </c>
    </row>
    <row r="43" ht="90" customHeight="1">
      <c r="A43" s="13" t="n">
        <v>42</v>
      </c>
      <c r="B43" s="14" t="inlineStr">
        <is>
          <t>Identity and credit</t>
        </is>
      </c>
      <c r="C43" s="15" t="inlineStr">
        <is>
          <t>SSN that belongs to a different person (Rohan Desai) fails identity</t>
        </is>
      </c>
      <c r="D43" s="15" t="inlineStr">
        <is>
          <t>Run the checks on Rohan Desai.</t>
        </is>
      </c>
      <c r="E43" s="15" t="inlineStr">
        <is>
          <t>Identity Failed, credit report Skipped, parameter Not Met, no referral possible. The other person is never named.</t>
        </is>
      </c>
      <c r="F43" s="15" t="inlineStr">
        <is>
          <t>Catches a mistyped, stolen or synthetic identity even when the documents look perfect.</t>
        </is>
      </c>
      <c r="G43" s="18" t="inlineStr">
        <is>
          <t>Yes — unit test; also previewed in the browser against a mock API</t>
        </is>
      </c>
    </row>
    <row r="44" ht="90" customHeight="1">
      <c r="A44" s="13" t="n">
        <v>43</v>
      </c>
      <c r="B44" s="14" t="inlineStr">
        <is>
          <t>Identity and credit</t>
        </is>
      </c>
      <c r="C44" s="15" t="inlineStr">
        <is>
          <t>Expired driver licence (Meera Iyer) is rejected on upload</t>
        </is>
      </c>
      <c r="D44" s="15" t="inlineStr">
        <is>
          <t>Open Meera Iyer &gt; Action Needed (no simulation involved).</t>
        </is>
      </c>
      <c r="E44" s="15" t="inlineStr">
        <is>
          <t>Drivers License shows an "ID expiry" mismatch with a Re-upload button; the bureau result itself is clean.</t>
        </is>
      </c>
      <c r="F44" s="15" t="inlineStr">
        <is>
          <t>A real document check that works on any upload.</t>
        </is>
      </c>
      <c r="G44" s="18" t="inlineStr">
        <is>
          <t>Yes — unit test; also previewed in the browser against a mock API</t>
        </is>
      </c>
    </row>
    <row r="45" ht="90" customHeight="1">
      <c r="A45" s="13" t="n">
        <v>44</v>
      </c>
      <c r="B45" s="14" t="inlineStr">
        <is>
          <t>Identity and credit</t>
        </is>
      </c>
      <c r="C45" s="15" t="inlineStr">
        <is>
          <t>Borrower with no credit history (Kavya Reddy) cannot proceed automatically</t>
        </is>
      </c>
      <c r="D45" s="15" t="inlineStr">
        <is>
          <t>Run the checks on Kavya Reddy.</t>
        </is>
      </c>
      <c r="E45" s="15" t="inlineStr">
        <is>
          <t>Credit report says no history (thin file); credit score stays "Needs entry"; neither approval nor referral is possible until a score is entered by hand or the file is declined.</t>
        </is>
      </c>
      <c r="F45" s="15" t="inlineStr">
        <is>
          <t>The system refuses to guess a score it does not have.</t>
        </is>
      </c>
      <c r="G45" s="18" t="inlineStr">
        <is>
          <t>Yes — unit test on the real seed data; not on real MongoDB</t>
        </is>
      </c>
    </row>
    <row r="46" ht="90" customHeight="1">
      <c r="A46" s="13" t="n">
        <v>45</v>
      </c>
      <c r="B46" s="14" t="inlineStr">
        <is>
          <t>Identity and credit</t>
        </is>
      </c>
      <c r="C46" s="15" t="inlineStr">
        <is>
          <t>Nothing is approvable until the checks are run</t>
        </is>
      </c>
      <c r="D46" s="15" t="inlineStr">
        <is>
          <t>Open any seeded borrower and look at the Decision page before running the checks.</t>
        </is>
      </c>
      <c r="E46" s="15" t="inlineStr">
        <is>
          <t>Identity, sanctions and credit parameters read "Needs entry"; Approve and Refer are disabled.</t>
        </is>
      </c>
      <c r="F46" s="15" t="inlineStr">
        <is>
          <t>Prevents a decision on an unverified identity.</t>
        </is>
      </c>
      <c r="G46" s="18" t="inlineStr">
        <is>
          <t>Yes — unit test; previewed in the browser against a mock API</t>
        </is>
      </c>
    </row>
    <row r="47" ht="90" customHeight="1">
      <c r="A47" s="13" t="n">
        <v>46</v>
      </c>
      <c r="B47" s="14" t="inlineStr">
        <is>
          <t>Duplicate identity</t>
        </is>
      </c>
      <c r="C47" s="15" t="inlineStr">
        <is>
          <t>A later application that reuses an earlier applicant's SSN last-4 and date of birth is stopped (Anil Kapoor)</t>
        </is>
      </c>
      <c r="D47" s="15" t="inlineStr">
        <is>
          <t>Open Anil Kapoor &gt; Decision as the loan officer (do not run any checks first).</t>
        </is>
      </c>
      <c r="E47" s="15" t="inlineStr">
        <is>
          <t>"No duplicate or reused identity" is Not Met with a "Matching earlier applications" panel naming Priya Nair and an Open link. Approval and referral are impossible; an underwriter cannot waive it.</t>
        </is>
      </c>
      <c r="F47" s="15" t="inlineStr">
        <is>
          <t>Catches identity reuse from the bank's own records, with no outside service.</t>
        </is>
      </c>
      <c r="G47" s="18" t="inlineStr">
        <is>
          <t>Yes — unit tests on the real seed data; previewed in the browser against a mock API</t>
        </is>
      </c>
    </row>
    <row r="48" ht="90" customHeight="1">
      <c r="A48" s="13" t="n">
        <v>47</v>
      </c>
      <c r="B48" s="14" t="inlineStr">
        <is>
          <t>Duplicate identity</t>
        </is>
      </c>
      <c r="C48" s="15" t="inlineStr">
        <is>
          <t>The original applicant is not penalised (Priya Nair)</t>
        </is>
      </c>
      <c r="D48" s="15" t="inlineStr">
        <is>
          <t>Open Priya Nair &gt; Decision, run the checks.</t>
        </is>
      </c>
      <c r="E48" s="15" t="inlineStr">
        <is>
          <t>The duplicate check is Met and Approve is enabled, even though Anil copied her details.</t>
        </is>
      </c>
      <c r="F48" s="15" t="inlineStr">
        <is>
          <t>A genuine borrower must never be blocked by an impostor.</t>
        </is>
      </c>
      <c r="G48" s="18" t="inlineStr">
        <is>
          <t>Yes — unit test; not on real MongoDB</t>
        </is>
      </c>
    </row>
    <row r="49" ht="90" customHeight="1">
      <c r="A49" s="13" t="n">
        <v>48</v>
      </c>
      <c r="B49" s="14" t="inlineStr">
        <is>
          <t>Residency</t>
        </is>
      </c>
      <c r="C49" s="15" t="inlineStr">
        <is>
          <t>A visa that ends before the loan can only be approved as an exception (Lakshmi Pillai)</t>
        </is>
      </c>
      <c r="D49" s="15" t="inlineStr">
        <is>
          <t>Open Lakshmi Pillai &gt; Decision, run the checks; then refer and have the underwriter approve waiving "residency" with a condition.</t>
        </is>
      </c>
      <c r="E49" s="15" t="inlineStr">
        <is>
          <t>"Residency status covers the loan term" is Not Met (visa to 2028-06-30, 36-month term to 2029-10); the officer cannot approve; the underwriter can, with compensating factors and a condition.</t>
        </is>
      </c>
      <c r="F49" s="15" t="inlineStr">
        <is>
          <t>Shows a practical residency rule without ever verifying citizenship against a government source.</t>
        </is>
      </c>
      <c r="G49" s="18" t="inlineStr">
        <is>
          <t>Yes — unit tests (including the underwriter approval); previewed in the browser against a mock API</t>
        </is>
      </c>
    </row>
  </sheetData>
  <autoFilter ref="A1:G49"/>
  <conditionalFormatting sqref="G2:G49">
    <cfRule type="expression" priority="1" dxfId="3">
      <formula>LEFT($G2,3)="Yes"</formula>
    </cfRule>
    <cfRule type="expression" priority="2" dxfId="4">
      <formula>LEFT($G2,7)="Partial"</formula>
    </cfRule>
    <cfRule type="expression" priority="3" dxfId="5">
      <formula>LEFT($G2,7)="Not yet"</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 width="60" customWidth="1" min="3" max="3"/>
    <col width="52" customWidth="1" min="4" max="4"/>
    <col width="16" customWidth="1" min="5" max="5"/>
  </cols>
  <sheetData>
    <row r="1">
      <c r="A1" s="11" t="inlineStr">
        <is>
          <t>Proposal promise</t>
        </is>
      </c>
      <c r="B1" s="11" t="inlineStr">
        <is>
          <t>Status</t>
        </is>
      </c>
      <c r="C1" s="11" t="inlineStr">
        <is>
          <t>What exists today</t>
        </is>
      </c>
      <c r="D1" s="11" t="inlineStr">
        <is>
          <t>Gap / next step</t>
        </is>
      </c>
      <c r="E1" s="11" t="inlineStr">
        <is>
          <t>Tracker section</t>
        </is>
      </c>
    </row>
    <row r="2">
      <c r="A2" s="15" t="inlineStr">
        <is>
          <t>Extract data and cross-verify name, SSN, income, address</t>
        </is>
      </c>
      <c r="B2" s="15" t="inlineStr">
        <is>
          <t>Built, with gaps</t>
        </is>
      </c>
      <c r="C2" s="15" t="inlineStr">
        <is>
          <t>Name, income, employer, SSN last-4, business name, revenue, plus cross-document deposit and payroll-math checks</t>
        </is>
      </c>
      <c r="D2" s="15" t="inlineStr">
        <is>
          <t>Address is not compared; SSN is last-4 only</t>
        </is>
      </c>
      <c r="E2" s="15" t="inlineStr">
        <is>
          <t>5, 19</t>
        </is>
      </c>
    </row>
    <row r="3">
      <c r="A3" s="15" t="inlineStr">
        <is>
          <t>Confidence scoring with human-in-the-loop routing</t>
        </is>
      </c>
      <c r="B3" s="15" t="inlineStr">
        <is>
          <t>Built</t>
        </is>
      </c>
      <c r="C3" s="15" t="inlineStr">
        <is>
          <t>Low-confidence extractions are flagged for review, never guessed</t>
        </is>
      </c>
      <c r="D3" s="15" t="inlineStr">
        <is>
          <t>—</t>
        </is>
      </c>
      <c r="E3" s="15" t="inlineStr">
        <is>
          <t>4</t>
        </is>
      </c>
    </row>
    <row r="4">
      <c r="A4" s="15" t="inlineStr">
        <is>
          <t>Exceptions dashboard</t>
        </is>
      </c>
      <c r="B4" s="15" t="inlineStr">
        <is>
          <t>Built</t>
        </is>
      </c>
      <c r="C4" s="15" t="inlineStr">
        <is>
          <t>Action Needed list and page; flags show in the application list</t>
        </is>
      </c>
      <c r="D4" s="15" t="inlineStr">
        <is>
          <t>—</t>
        </is>
      </c>
      <c r="E4" s="15" t="inlineStr">
        <is>
          <t>13</t>
        </is>
      </c>
    </row>
    <row r="5">
      <c r="A5" s="15" t="inlineStr">
        <is>
          <t>Officer is the final approver</t>
        </is>
      </c>
      <c r="B5" s="15" t="inlineStr">
        <is>
          <t>Built</t>
        </is>
      </c>
      <c r="C5" s="15" t="inlineStr">
        <is>
          <t>Loan officer and underwriter decision workflow with an audit trail</t>
        </is>
      </c>
      <c r="D5" s="15" t="inlineStr">
        <is>
          <t>Notifications, appeals, real minimum credit scores</t>
        </is>
      </c>
      <c r="E5" s="15" t="inlineStr">
        <is>
          <t>18</t>
        </is>
      </c>
    </row>
    <row r="6">
      <c r="A6" s="15" t="inlineStr">
        <is>
          <t>RAG Q&amp;A with citations for officers and borrowers (web)</t>
        </is>
      </c>
      <c r="B6" s="15" t="inlineStr">
        <is>
          <t>Built, not true RAG</t>
        </is>
      </c>
      <c r="C6" s="15" t="inlineStr">
        <is>
          <t>Policy corpus grounded answers with citations; chat also navigates to pages</t>
        </is>
      </c>
      <c r="D6" s="15" t="inlineStr">
        <is>
          <t>Vector search and per-tenant retrieval; policy page with highlighting</t>
        </is>
      </c>
      <c r="E6" s="15" t="inlineStr">
        <is>
          <t>6, 20</t>
        </is>
      </c>
    </row>
    <row r="7">
      <c r="A7" s="15" t="inlineStr">
        <is>
          <t>RAG on WhatsApp</t>
        </is>
      </c>
      <c r="B7" s="15" t="inlineStr">
        <is>
          <t>Not started</t>
        </is>
      </c>
      <c r="C7" s="15" t="inlineStr">
        <is>
          <t>—</t>
        </is>
      </c>
      <c r="D7" s="15" t="inlineStr">
        <is>
          <t>Webhook, routing into the assistant, outbound replies</t>
        </is>
      </c>
      <c r="E7" s="15" t="inlineStr">
        <is>
          <t>9</t>
        </is>
      </c>
    </row>
    <row r="8">
      <c r="A8" s="15" t="inlineStr">
        <is>
          <t>Missing-document detection with one-click borrower email</t>
        </is>
      </c>
      <c r="B8" s="15" t="inlineStr">
        <is>
          <t>Detection built</t>
        </is>
      </c>
      <c r="C8" s="15" t="inlineStr">
        <is>
          <t>In-app self-service re-upload replaces the email</t>
        </is>
      </c>
      <c r="D8" s="15" t="inlineStr">
        <is>
          <t>Email notification not built</t>
        </is>
      </c>
      <c r="E8" s="15" t="inlineStr">
        <is>
          <t>13, 19</t>
        </is>
      </c>
    </row>
    <row r="9">
      <c r="A9" s="15" t="inlineStr">
        <is>
          <t>"Binder dump": auto-split and classify large mixed PDFs (200–500 pages)</t>
        </is>
      </c>
      <c r="B9" s="15" t="inlineStr">
        <is>
          <t>Not built</t>
        </is>
      </c>
      <c r="C9" s="15" t="inlineStr">
        <is>
          <t>One upload is one document</t>
        </is>
      </c>
      <c r="D9" s="15" t="inlineStr">
        <is>
          <t>Page splitting, page-level classification, progress</t>
        </is>
      </c>
      <c r="E9" s="15" t="inlineStr">
        <is>
          <t>19</t>
        </is>
      </c>
    </row>
    <row r="10">
      <c r="A10" s="15" t="inlineStr">
        <is>
          <t>TILA / RESPA disclosure-timing checks</t>
        </is>
      </c>
      <c r="B10" s="15" t="inlineStr">
        <is>
          <t>Not built</t>
        </is>
      </c>
      <c r="C10" s="15" t="inlineStr">
        <is>
          <t>—</t>
        </is>
      </c>
      <c r="D10" s="15" t="inlineStr">
        <is>
          <t>Rules and data model</t>
        </is>
      </c>
      <c r="E10" s="15" t="inlineStr">
        <is>
          <t>19</t>
        </is>
      </c>
    </row>
    <row r="11">
      <c r="A11" s="15" t="inlineStr">
        <is>
          <t>MISMO JSON output for LOS integration</t>
        </is>
      </c>
      <c r="B11" s="15" t="inlineStr">
        <is>
          <t>Not built</t>
        </is>
      </c>
      <c r="C11" s="15" t="inlineStr">
        <is>
          <t>—</t>
        </is>
      </c>
      <c r="D11" s="15" t="inlineStr">
        <is>
          <t>Phase 3 of the submission</t>
        </is>
      </c>
      <c r="E11" s="15" t="inlineStr">
        <is>
          <t>19</t>
        </is>
      </c>
    </row>
    <row r="12">
      <c r="A12" s="15" t="inlineStr">
        <is>
          <t>Complete audit trail of every extraction and decision</t>
        </is>
      </c>
      <c r="B12" s="15" t="inlineStr">
        <is>
          <t>Partial</t>
        </is>
      </c>
      <c r="C12" s="15" t="inlineStr">
        <is>
          <t>Decisions, referrals and credit-score entries are logged; superseded documents kept</t>
        </is>
      </c>
      <c r="D12" s="15" t="inlineStr">
        <is>
          <t>Log uploads and extractions</t>
        </is>
      </c>
      <c r="E12" s="15" t="inlineStr">
        <is>
          <t>18, 19</t>
        </is>
      </c>
    </row>
    <row r="13">
      <c r="A13" s="15" t="inlineStr">
        <is>
          <t>GLBA / SOC 2-aligned controls</t>
        </is>
      </c>
      <c r="B13" s="15" t="inlineStr">
        <is>
          <t>Partial</t>
        </is>
      </c>
      <c r="C13" s="15" t="inlineStr">
        <is>
          <t>Role-based access; private file storage (R2)</t>
        </is>
      </c>
      <c r="D13" s="15" t="inlineStr">
        <is>
          <t>Encryption at rest, zero-retention LLM terms, access logging</t>
        </is>
      </c>
      <c r="E13" s="15" t="inlineStr">
        <is>
          <t>19</t>
        </is>
      </c>
    </row>
    <row r="14">
      <c r="A14" s="15" t="inlineStr">
        <is>
          <t>Multi-tenant SaaS, per-bank policy indexing</t>
        </is>
      </c>
      <c r="B14" s="15" t="inlineStr">
        <is>
          <t>Not built</t>
        </is>
      </c>
      <c r="C14" s="15" t="inlineStr">
        <is>
          <t>Single bank</t>
        </is>
      </c>
      <c r="D14" s="15" t="inlineStr">
        <is>
          <t>RAG plan phase P2</t>
        </is>
      </c>
      <c r="E14" s="15" t="inlineStr">
        <is>
          <t>19</t>
        </is>
      </c>
    </row>
    <row r="15">
      <c r="A15" s="15" t="inlineStr">
        <is>
          <t>Residential / consumer loans with 1003 / URLA</t>
        </is>
      </c>
      <c r="B15" s="15" t="inlineStr">
        <is>
          <t>Different scope</t>
        </is>
      </c>
      <c r="C15" s="15" t="inlineStr">
        <is>
          <t>Auto, personal and small-business loans</t>
        </is>
      </c>
      <c r="D15" s="15" t="inlineStr">
        <is>
          <t>State the scope change in the pitch</t>
        </is>
      </c>
      <c r="E15" s="15" t="inlineStr">
        <is>
          <t>12</t>
        </is>
      </c>
    </row>
    <row r="16">
      <c r="A16" s="15" t="inlineStr">
        <is>
          <t>Azure Document AI / FastAPI / React / vector DB</t>
        </is>
      </c>
      <c r="B16" s="15" t="inlineStr">
        <is>
          <t>Different stack</t>
        </is>
      </c>
      <c r="C16" s="15" t="inlineStr">
        <is>
          <t>Claude vision, Node / Express, Expo, no vector DB yet</t>
        </is>
      </c>
      <c r="D16" s="15" t="inlineStr">
        <is>
          <t>Document the deviation; confirm approved cloud with ThoughtFocus (Rovo Q01)</t>
        </is>
      </c>
      <c r="E16" s="15" t="inlineStr">
        <is>
          <t>12</t>
        </is>
      </c>
    </row>
    <row r="17">
      <c r="A17" s="15" t="inlineStr">
        <is>
          <t>Added beyond the proposal</t>
        </is>
      </c>
      <c r="B17" s="15" t="inlineStr">
        <is>
          <t>Extra</t>
        </is>
      </c>
      <c r="C17" s="15" t="inlineStr">
        <is>
          <t>Small-business vertical, self-service live exceptions, payroll-math and deposit checks, affordability warning, underwriter exception workflow, mock-AI mode</t>
        </is>
      </c>
      <c r="D17" s="15" t="inlineStr">
        <is>
          <t>Lead the pitch with the exception and fraud-signal story</t>
        </is>
      </c>
      <c r="E17" s="15" t="inlineStr">
        <is>
          <t>5, 13, 18</t>
        </is>
      </c>
    </row>
  </sheetData>
  <autoFilter ref="A1:E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2026-09-17T07:32:19Z</dcterms:created>
  <dcterms:modified xmlns:dcterms="http://purl.org/dc/terms/" xmlns:xsi="http://www.w3.org/2001/XMLSchema-instance" xsi:type="dcterms:W3CDTF">2026-10-24T07:46:01Z</dcterms:modified>
</cp:coreProperties>
</file>